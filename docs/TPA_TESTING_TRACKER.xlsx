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69c3a7354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c36b4c9aa074086"/>
    <x:sheet xmlns:r="http://schemas.openxmlformats.org/officeDocument/2006/relationships" name="Coverage Inventory" sheetId="2" r:id="R8d03c62a6aea4e5c"/>
    <x:sheet xmlns:r="http://schemas.openxmlformats.org/officeDocument/2006/relationships" name="Test Cases" sheetId="3" r:id="Rc78b91585c4448b3"/>
    <x:sheet xmlns:r="http://schemas.openxmlformats.org/officeDocument/2006/relationships" name="End-to-End Journeys" sheetId="4" r:id="R2a408aa3663a414f"/>
    <x:sheet xmlns:r="http://schemas.openxmlformats.org/officeDocument/2006/relationships" name="Defects" sheetId="5" r:id="R495303f4aba047da"/>
    <x:sheet xmlns:r="http://schemas.openxmlformats.org/officeDocument/2006/relationships" name="UX and Upgrades" sheetId="6" r:id="R3f3742986c354c23"/>
    <x:sheet xmlns:r="http://schemas.openxmlformats.org/officeDocument/2006/relationships" name="Summary and Sign-off" sheetId="7" r:id="R8a4a028bb290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0"/>
      <x:color rgb="FF182D40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182D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D6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4A05A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7A4A00"/>
      </x:font>
      <x:fill>
        <x:patternFill patternType="solid">
          <x:bgColor rgb="FFFFF0CA"/>
        </x:patternFill>
      </x:fill>
    </x:dxf>
    <x:dxf>
      <x:font>
        <x:b/>
        <x:color rgb="FF5E367E"/>
      </x:font>
      <x:fill>
        <x:patternFill patternType="solid">
          <x:bgColor rgb="FFE8E1F2"/>
        </x:patternFill>
      </x:fill>
    </x:dxf>
    <x:dxf>
      <x:font>
        <x:b/>
        <x:color rgb="FF53606B"/>
      </x:font>
      <x:fill>
        <x:patternFill patternType="solid">
          <x:bgColor rgb="FFE9EDF0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7A4A00"/>
      </x:font>
      <x:fill>
        <x:patternFill patternType="solid">
          <x:bgColor rgb="FFFFF0CA"/>
        </x:patternFill>
      </x:fill>
    </x:dxf>
    <x:dxf>
      <x:font>
        <x:b/>
        <x:color rgb="FF5E367E"/>
      </x:font>
      <x:fill>
        <x:patternFill patternType="solid">
          <x:bgColor rgb="FFE8E1F2"/>
        </x:patternFill>
      </x:fill>
    </x:dxf>
    <x:dxf>
      <x:font>
        <x:b/>
        <x:color rgb="FF53606B"/>
      </x:font>
      <x:fill>
        <x:patternFill patternType="solid">
          <x:bgColor rgb="FFE9EDF0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bcc5e1b264428" /><Relationship Type="http://schemas.openxmlformats.org/officeDocument/2006/relationships/theme" Target="/xl/theme/theme1.xml" Id="R199998c509064534" /><Relationship Type="http://schemas.openxmlformats.org/officeDocument/2006/relationships/sharedStrings" Target="/xl/sharedStrings.xml" Id="Rd89b4eed96204149" /><Relationship Type="http://schemas.openxmlformats.org/officeDocument/2006/relationships/worksheet" Target="/xl/worksheets/sheet1.xml" Id="R6c36b4c9aa074086" /><Relationship Type="http://schemas.openxmlformats.org/officeDocument/2006/relationships/worksheet" Target="/xl/worksheets/sheet2.xml" Id="R8d03c62a6aea4e5c" /><Relationship Type="http://schemas.openxmlformats.org/officeDocument/2006/relationships/worksheet" Target="/xl/worksheets/sheet3.xml" Id="Rc78b91585c4448b3" /><Relationship Type="http://schemas.openxmlformats.org/officeDocument/2006/relationships/worksheet" Target="/xl/worksheets/sheet4.xml" Id="R2a408aa3663a414f" /><Relationship Type="http://schemas.openxmlformats.org/officeDocument/2006/relationships/worksheet" Target="/xl/worksheets/sheet5.xml" Id="R495303f4aba047da" /><Relationship Type="http://schemas.openxmlformats.org/officeDocument/2006/relationships/worksheet" Target="/xl/worksheets/sheet6.xml" Id="R3f3742986c354c23" /><Relationship Type="http://schemas.openxmlformats.org/officeDocument/2006/relationships/worksheet" Target="/xl/worksheets/sheet7.xml" Id="R8a4a028bb2904e13" /></Relationships>
</file>

<file path=xl/tables/table1.xml><?xml version="1.0" encoding="utf-8"?>
<x:table xmlns:x="http://schemas.openxmlformats.org/spreadsheetml/2006/main" id="1" name="CoverageInventoryTable" displayName="CoverageInventoryTable" ref="A4:K345" headerRowCount="1" totalsRowCount="0" totalsRowShown="0">
  <x:autoFilter ref="A4:K345"/>
  <x:tableColumns count="11">
    <x:tableColumn id="1" name="Type"/>
    <x:tableColumn id="2" name="Page / API / entity"/>
    <x:tableColumn id="3" name="Subsection / method / control"/>
    <x:tableColumn id="4" name="Permission / actor"/>
    <x:tableColumn id="5" name="Deployed availability"/>
    <x:tableColumn id="6" name="Source reference"/>
    <x:tableColumn id="7" name="Direct database references"/>
    <x:tableColumn id="8" name="Jobs / external dependency"/>
    <x:tableColumn id="9" name="Linked case IDs"/>
    <x:tableColumn id="10" name="Inventory review"/>
    <x:tableColumn id="11" name="Reason / gap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estCasesTable" displayName="TestCasesTable" ref="A4:V595" headerRowCount="1" totalsRowCount="0" totalsRowShown="0">
  <x:autoFilter ref="A4:V595"/>
  <x:tableColumns count="22">
    <x:tableColumn id="1" name="ID"/>
    <x:tableColumn id="2" name="Module"/>
    <x:tableColumn id="3" name="Scenario"/>
    <x:tableColumn id="4" name="Page / subsection / API"/>
    <x:tableColumn id="5" name="Role"/>
    <x:tableColumn id="6" name="Priority"/>
    <x:tableColumn id="7" name="Environment"/>
    <x:tableColumn id="8" name="Preconditions / test data"/>
    <x:tableColumn id="9" name="Steps"/>
    <x:tableColumn id="10" name="Expected result"/>
    <x:tableColumn id="11" name="Actual result"/>
    <x:tableColumn id="12" name="Status"/>
    <x:tableColumn id="13" name="Evidence links"/>
    <x:tableColumn id="14" name="Related record IDs"/>
    <x:tableColumn id="15" name="Defect ID"/>
    <x:tableColumn id="16" name="Tester / date / build"/>
    <x:tableColumn id="17" name="Retest result"/>
    <x:tableColumn id="18" name="Reason / exception"/>
    <x:tableColumn id="19" name="Evidence type"/>
    <x:tableColumn id="20" name="Source reference"/>
    <x:tableColumn id="21" name="Cleanup / reconciliation"/>
    <x:tableColumn id="22" name="Evidence check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EndtoEndJourneysTable" displayName="EndtoEndJourneysTable" ref="A4:P16" headerRowCount="1" totalsRowCount="0" totalsRowShown="0">
  <x:autoFilter ref="A4:P16"/>
  <x:tableColumns count="16">
    <x:tableColumn id="1" name="ID"/>
    <x:tableColumn id="2" name="Journey"/>
    <x:tableColumn id="3" name="Environment"/>
    <x:tableColumn id="4" name="Preconditions"/>
    <x:tableColumn id="5" name="Complete steps"/>
    <x:tableColumn id="6" name="Required outcome"/>
    <x:tableColumn id="7" name="Linked case IDs"/>
    <x:tableColumn id="8" name="Status"/>
    <x:tableColumn id="9" name="Actual result"/>
    <x:tableColumn id="10" name="Evidence links"/>
    <x:tableColumn id="11" name="Related record IDs"/>
    <x:tableColumn id="12" name="Defect IDs"/>
    <x:tableColumn id="13" name="Tester / date / build"/>
    <x:tableColumn id="14" name="Retest result"/>
    <x:tableColumn id="15" name="Reason / exception"/>
    <x:tableColumn id="16" name="Evidence check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DefectsTable" displayName="DefectsTable" ref="A4:Q104" headerRowCount="1" totalsRowCount="0" totalsRowShown="0">
  <x:autoFilter ref="A4:Q104"/>
  <x:tableColumns count="17">
    <x:tableColumn id="1" name="Defect ID"/>
    <x:tableColumn id="2" name="Case / journey IDs"/>
    <x:tableColumn id="3" name="Module"/>
    <x:tableColumn id="4" name="Problem"/>
    <x:tableColumn id="5" name="Reproduction steps"/>
    <x:tableColumn id="6" name="Expected"/>
    <x:tableColumn id="7" name="Actual"/>
    <x:tableColumn id="8" name="Severity"/>
    <x:tableColumn id="9" name="Status"/>
    <x:tableColumn id="10" name="Owner"/>
    <x:tableColumn id="11" name="Affected build"/>
    <x:tableColumn id="12" name="Evidence links"/>
    <x:tableColumn id="13" name="Fix / action"/>
    <x:tableColumn id="14" name="Retest build"/>
    <x:tableColumn id="15" name="Retest evidence"/>
    <x:tableColumn id="16" name="Exception approval / reason"/>
    <x:tableColumn id="17" name="Record check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UXandUpgradesTable" displayName="UXandUpgradesTable" ref="A4:O64" headerRowCount="1" totalsRowCount="0" totalsRowShown="0">
  <x:autoFilter ref="A4:O64"/>
  <x:tableColumns count="15">
    <x:tableColumn id="1" name="Upgrade ID"/>
    <x:tableColumn id="2" name="Module / page"/>
    <x:tableColumn id="3" name="Observed problem"/>
    <x:tableColumn id="4" name="Affected users"/>
    <x:tableColumn id="5" name="Evidence / frequency"/>
    <x:tableColumn id="6" name="Current time / clicks / workaround"/>
    <x:tableColumn id="7" name="Proposed improvement"/>
    <x:tableColumn id="8" name="Expected measurable benefit"/>
    <x:tableColumn id="9" name="Effort"/>
    <x:tableColumn id="10" name="Dependencies"/>
    <x:tableColumn id="11" name="Priority"/>
    <x:tableColumn id="12" name="Owner"/>
    <x:tableColumn id="13" name="Decision"/>
    <x:tableColumn id="14" name="Linked case / defect"/>
    <x:tableColumn id="15" name="Outcome / measuremen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644c554b50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b8256ac4c6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e50d161a0f42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a7317913da43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41124b94bb4fba" /></Relationships>
</file>

<file path=xl/worksheets/sheet1.xml><?xml version="1.0" encoding="utf-8"?>
<x:worksheet xmlns:x="http://schemas.openxmlformats.org/spreadsheetml/2006/main">
  <x:sheetPr>
    <x:tabColor rgb="FF38587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76" hidden="0" customWidth="1"/>
    <x:col min="3" max="3" width="82" hidden="0" customWidth="1"/>
  </x:cols>
  <x:sheetData>
    <x:row r="1">
      <x:c r="A1" s="1"/>
      <x:c r="B1" s="1"/>
      <x:c r="C1" s="1"/>
    </x:row>
    <x:row r="2">
      <x:c r="A2" s="2" t="str">
        <x:v>TPA testing handoff</x:v>
      </x:c>
      <x:c r="B2" s="1"/>
      <x:c r="C2" s="1"/>
    </x:row>
    <x:row r="3">
      <x:c r="A3" s="3"/>
      <x:c r="B3" s="3"/>
      <x:c r="C3" s="3"/>
    </x:row>
    <x:row r="4" ht="36" customHeight="1">
      <x:c r="A4" s="8" t="str">
        <x:v>Field</x:v>
      </x:c>
      <x:c r="B4" s="8" t="str">
        <x:v>Input / instruction</x:v>
      </x:c>
      <x:c r="C4" s="8" t="str">
        <x:v>Notes</x:v>
      </x:c>
    </x:row>
    <x:row r="5" ht="52" customHeight="1">
      <x:c r="A5" s="10" t="str">
        <x:v>Website URL</x:v>
      </x:c>
      <x:c r="B5" s="11" t="str">
        <x:v>https://tpassociation.org</x:v>
      </x:c>
      <x:c r="C5" s="10" t="str">
        <x:v>Confirm exact target before execution.</x:v>
      </x:c>
    </x:row>
    <x:row r="6" ht="52" customHeight="1">
      <x:c r="A6" s="10" t="str">
        <x:v>Deployed commit/build</x:v>
      </x:c>
      <x:c r="B6" s="11" t="str"/>
      <x:c r="C6" s="10" t="str">
        <x:v>Required; obtain from deployment owner, never assume source HEAD is live.</x:v>
      </x:c>
    </x:row>
    <x:row r="7" ht="52" customHeight="1">
      <x:c r="A7" s="10" t="str">
        <x:v>Source candidate HEAD</x:v>
      </x:c>
      <x:c r="B7" s="11" t="str">
        <x:v>476fec4af109f316a05a4bc174079c559bd5fa9c</x:v>
      </x:c>
      <x:c r="C7" s="10" t="str">
        <x:v>Local inspected candidate only; working tree has pre-existing changes.</x:v>
      </x:c>
    </x:row>
    <x:row r="8" ht="52" customHeight="1">
      <x:c r="A8" s="10" t="str">
        <x:v>Test date / timezone</x:v>
      </x:c>
      <x:c r="B8" s="11" t="str"/>
      <x:c r="C8" s="10" t="str">
        <x:v>Record actual run date/time; use Asia/Calcutta (IST) for human schedules.</x:v>
      </x:c>
    </x:row>
    <x:row r="9" ht="52" customHeight="1">
      <x:c r="A9" s="10" t="str">
        <x:v>Tester / run ID</x:v>
      </x:c>
      <x:c r="B9" s="11" t="str"/>
      <x:c r="C9" s="10" t="str">
        <x:v>Use one run ID in screenshots, records and evidence folders.</x:v>
      </x:c>
    </x:row>
    <x:row r="10" ht="52" customHeight="1">
      <x:c r="A10" s="10" t="str">
        <x:v>Browsers and real devices</x:v>
      </x:c>
      <x:c r="B10" s="11" t="str"/>
      <x:c r="C10" s="10" t="str">
        <x:v>Record versions; distinguish emulation from physical device.</x:v>
      </x:c>
    </x:row>
    <x:row r="11" ht="52" customHeight="1">
      <x:c r="A11" s="10" t="str">
        <x:v>Enabled features / deployment differences</x:v>
      </x:c>
      <x:c r="B11" s="11" t="str"/>
      <x:c r="C11" s="10" t="str">
        <x:v>Record Not deployed separately from implementation defects.</x:v>
      </x:c>
    </x:row>
    <x:row r="12" ht="52" customHeight="1">
      <x:c r="A12" s="10" t="str">
        <x:v>Approved QA fixtures and IDs</x:v>
      </x:c>
      <x:c r="B12" s="11" t="str"/>
      <x:c r="C12" s="10" t="str">
        <x:v>List exact synthetic accounts/events/content and permitted public visibility.</x:v>
      </x:c>
    </x:row>
    <x:row r="13" ht="52" customHeight="1">
      <x:c r="A13" s="10" t="str">
        <x:v>Approved test recipients</x:v>
      </x:c>
      <x:c r="B13" s="11" t="str"/>
      <x:c r="C13" s="10" t="str">
        <x:v>Exact recipient allowlist and owner reference; no production audience.</x:v>
      </x:c>
    </x:row>
    <x:row r="14" ht="52" customHeight="1">
      <x:c r="A14" s="10" t="str">
        <x:v>Shared-setting changes / restoration</x:v>
      </x:c>
      <x:c r="B14" s="11" t="str"/>
      <x:c r="C14" s="10" t="str">
        <x:v>Use isolated clone for global homepage/branding/requirements changes.</x:v>
      </x:c>
    </x:row>
    <x:row r="15" ht="52" customHeight="1">
      <x:c r="A15" s="10" t="str">
        <x:v>Baseline record counts / query evidence</x:v>
      </x:c>
      <x:c r="B15" s="11" t="str"/>
      <x:c r="C15" s="10" t="str">
        <x:v>Use read-only queries; never paste raw member exports.</x:v>
      </x:c>
    </x:row>
    <x:row r="16" ht="52" customHeight="1">
      <x:c r="A16" s="10" t="str">
        <x:v>Live write/send scope confirmed</x:v>
      </x:c>
      <x:c r="B16" s="11" t="str">
        <x:v>Pending</x:v>
      </x:c>
      <x:c r="C16" s="10" t="str">
        <x:v>Complete only after exact fixtures/recipients/actions confirmed by owner.</x:v>
      </x:c>
    </x:row>
    <x:row r="17" ht="52" customHeight="1">
      <x:c r="A17" s="10" t="str">
        <x:v>Cleanup and reconciliation confirmed</x:v>
      </x:c>
      <x:c r="B17" s="11" t="str">
        <x:v>Pending</x:v>
      </x:c>
      <x:c r="C17" s="10" t="str">
        <x:v>Complete after restoring settings and reconciling tagged records/jobs/objects.</x:v>
      </x:c>
    </x:row>
    <x:row r="18" ht="52" customHeight="1">
      <x:c r="A18" s="10" t="str">
        <x:v>Human/device/accessibility acceptance</x:v>
      </x:c>
      <x:c r="B18" s="11" t="str">
        <x:v>Pending</x:v>
      </x:c>
      <x:c r="C18" s="10" t="str">
        <x:v>Complete after physical-device and manual accessibility evidence, or record blocker.</x:v>
      </x:c>
    </x:row>
    <x:row r="19" ht="52" customHeight="1">
      <x:c r="A19" s="10" t="str">
        <x:v>Recovery and isolated technical gates</x:v>
      </x:c>
      <x:c r="B19" s="11" t="str">
        <x:v>Pending</x:v>
      </x:c>
      <x:c r="C19" s="10" t="str">
        <x:v>Complete only with restore/integrity/security/capacity evidence for this release.</x:v>
      </x:c>
    </x:row>
    <x:row r="20" ht="52" customHeight="1">
      <x:c r="A20" s="10" t="str">
        <x:v>Owner sign-off</x:v>
      </x:c>
      <x:c r="B20" s="11" t="str">
        <x:v>Pending</x:v>
      </x:c>
      <x:c r="C20" s="10" t="str">
        <x:v>Owner records Approved or Rejected only after reviewing all evidence/limitations.</x:v>
      </x:c>
    </x:row>
    <x:row r="21" ht="52" customHeight="1">
      <x:c r="A21" s="10" t="str">
        <x:v>Owner / date / exceptions</x:v>
      </x:c>
      <x:c r="B21" s="11" t="str"/>
      <x:c r="C21" s="10" t="str">
        <x:v>Name, date, release identity and accepted lower-severity exceptions.</x:v>
      </x:c>
    </x:row>
    <x:row r="22" ht="52" customHeight="1">
      <x:c r="A22" s="10" t="str">
        <x:v>Execution order</x:v>
      </x:c>
      <x:c r="B22" s="11" t="str">
        <x:v>Preparation, read-only smoke, P0/P1 modules, E2E journeys, isolated technical checks, UX matrix, defect retest, reconciliation, sign-off.</x:v>
      </x:c>
      <x:c r="C22" s="10" t="str">
        <x:v>Use filters for module, environment and priority.</x:v>
      </x:c>
    </x:row>
    <x:row r="23" ht="52" customHeight="1">
      <x:c r="A23" s="10" t="str">
        <x:v>Status rules</x:v>
      </x:c>
      <x:c r="B23" s="11" t="str">
        <x:v>Not run / Pass / Fail / Blocked / Not deployed / Not applicable</x:v>
      </x:c>
      <x:c r="C23" s="10" t="str">
        <x:v>Actual result + reason required for Blocked/Not deployed/Not applicable. Pass requires evidence and tester/date/build.</x:v>
      </x:c>
    </x:row>
    <x:row r="24" ht="52" customHeight="1">
      <x:c r="A24" s="10" t="str">
        <x:v>Evidence rules</x:v>
      </x:c>
      <x:c r="B24" s="11" t="str">
        <x:v>Record UI + HTTP + read-only DB + audit/job + provider/inbox where relevant.</x:v>
      </x:c>
      <x:c r="C24" s="10" t="str">
        <x:v>Never include passwords, tokens, cookies, private documents or raw production exports.</x:v>
      </x:c>
    </x:row>
    <x:row r="25" ht="52" customHeight="1">
      <x:c r="A25" s="10" t="str">
        <x:v>Isolation rule</x:v>
      </x:c>
      <x:c r="B25" s="11" t="str">
        <x:v>Load/outage/payload/migration/restore/race/provider fault tests stay isolated.</x:v>
      </x:c>
      <x:c r="C25" s="10" t="str">
        <x:v>Do not point scripts at .env.local or live DB by default. No disabling live controls.</x:v>
      </x:c>
    </x:row>
    <x:row r="26" ht="52" customHeight="1">
      <x:c r="A26" s="10" t="str">
        <x:v>Payment rule</x:v>
      </x:c>
      <x:c r="B26" s="11" t="str">
        <x:v>Manual bank/UPI verification. No actual transfer required for QA.</x:v>
      </x:c>
      <x:c r="C26" s="10" t="str">
        <x:v>Tagged synthetic confirmations/refunds only under agreed scope; application does not move/refund money.</x:v>
      </x:c>
    </x:row>
    <x:row r="27" ht="52" customHeight="1">
      <x:c r="A27" s="10" t="str">
        <x:v>Independent statuses</x:v>
      </x:c>
      <x:c r="B27" s="11" t="str">
        <x:v>Account, email verification, profile verification, membership, payment and public publication differ.</x:v>
      </x:c>
      <x:c r="C27" s="10" t="str">
        <x:v>Do not infer approval/payment/publication from another status.</x:v>
      </x:c>
    </x:row>
    <x:row r="28" ht="52" customHeight="1">
      <x:c r="A28" s="10" t="str">
        <x:v>Mail outcomes</x:v>
      </x:c>
      <x:c r="B28" s="11" t="str">
        <x:v>Queue, provider acceptance, delivery webhook and actual inbox receipt differ.</x:v>
      </x:c>
      <x:c r="C28" s="10" t="str">
        <x:v>Sink/mocked webhook cannot prove actual inbox delivery.</x:v>
      </x:c>
    </x:row>
    <x:row r="29" ht="52" customHeight="1">
      <x:c r="A29" s="10" t="str">
        <x:v>Priority</x:v>
      </x:c>
      <x:c r="B29" s="11" t="str">
        <x:v>P0 integrity/privacy/identity/payments/recipients; P1 core workflows; P2 presentation/secondary.</x:v>
      </x:c>
      <x:c r="C29" s="10" t="str">
        <x:v>Critical/High defect severity is separate from case priority.</x:v>
      </x:c>
    </x:row>
    <x:row r="30" ht="52" customHeight="1">
      <x:c r="A30" s="10" t="str">
        <x:v>Stop rule</x:v>
      </x:c>
      <x:c r="B30" s="11" t="str">
        <x:v>Stop on private leakage, wrong recipient, unrelated mutation or financial inconsistency.</x:v>
      </x:c>
      <x:c r="C30" s="10" t="str">
        <x:v>Preserve redacted evidence and escalate with exact IDs.</x:v>
      </x:c>
    </x:row>
    <x:row r="31" ht="52" customHeight="1">
      <x:c r="A31" s="10" t="str">
        <x:v>Capacity targets</x:v>
      </x:c>
      <x:c r="B31" s="11" t="str">
        <x:v>Confirm owner budget and thresholds before isolated run; no paid resources provisioned.</x:v>
      </x:c>
      <x:c r="C31" s="10" t="str">
        <x:v>Record sustainable measured level; serial timings are not concurrency proof.</x:v>
      </x:c>
    </x:row>
    <x:row r="32" ht="52" customHeight="1">
      <x:c r="A32" s="10" t="str">
        <x:v>Adding cases</x:v>
      </x:c>
      <x:c r="B32" s="11" t="str">
        <x:v>Insert a row inside TestCases and copy Evidence check formula; use unique QA- ID.</x:v>
      </x:c>
      <x:c r="C32" s="10" t="str">
        <x:v>Summary supports rows through 10000. Extend bounded formulas if exceeded; keep stable IDs and notes together.</x:v>
      </x:c>
    </x:row>
    <x:row r="33" ht="52" customHeight="1">
      <x:c r="A33" s="10" t="str">
        <x:v>Coverage interpretation</x:v>
      </x:c>
      <x:c r="B33" s="11" t="str">
        <x:v>Static discovery is a starting inventory, not proof of every runtime control.</x:v>
      </x:c>
      <x:c r="C33" s="10" t="str">
        <x:v>Review every tab/dialog/action, fill data flow mapping and add missing case rows before sign-off.</x:v>
      </x:c>
    </x:row>
    <x:row r="34" ht="52" customHeight="1">
      <x:c r="A34" s="10" t="str">
        <x:v>Defect workflow</x:v>
      </x:c>
      <x:c r="B34" s="11" t="str">
        <x:v>New / In progress / Ready for retest / Closed / Accepted exception</x:v>
      </x:c>
      <x:c r="C34" s="10" t="str">
        <x:v>Close only after same-build/fixed-build retest evidence; no Critical/High accepted exception for readiness.</x:v>
      </x:c>
    </x:row>
    <x:row r="35" ht="52" customHeight="1">
      <x:c r="A35" s="10" t="str">
        <x:v>Source basis</x:v>
      </x:c>
      <x:c r="B35" s="11" t="str">
        <x:v>Approved user plan; current page/route handlers, access grants, navigation, migrations and relevant acceptance guides.</x:v>
      </x:c>
      <x:c r="C35" s="10" t="str">
        <x:v>See source column in Coverage Inventory. Historical acceptance is not a fresh pass.</x:v>
      </x:c>
    </x:row>
    <x:row r="36" ht="52" customHeight="1">
      <x:c r="A36" s="10" t="str">
        <x:v>Account alias: administrator</x:v>
      </x:c>
      <x:c r="B36" s="11" t="str"/>
      <x:c r="C36" s="10" t="str">
        <x:v>Alias/secret-manager reference only; never password/session/token.</x:v>
      </x:c>
    </x:row>
    <x:row r="37" ht="52" customHeight="1">
      <x:c r="A37" s="10" t="str">
        <x:v>Account alias: membership_reviewer</x:v>
      </x:c>
      <x:c r="B37" s="11" t="str"/>
      <x:c r="C37" s="10" t="str">
        <x:v>Alias/secret-manager reference only; never password/session/token.</x:v>
      </x:c>
    </x:row>
    <x:row r="38" ht="52" customHeight="1">
      <x:c r="A38" s="10" t="str">
        <x:v>Account alias: content_editor</x:v>
      </x:c>
      <x:c r="B38" s="11" t="str"/>
      <x:c r="C38" s="10" t="str">
        <x:v>Alias/secret-manager reference only; never password/session/token.</x:v>
      </x:c>
    </x:row>
    <x:row r="39" ht="52" customHeight="1">
      <x:c r="A39" s="10" t="str">
        <x:v>Account alias: event_operator</x:v>
      </x:c>
      <x:c r="B39" s="11" t="str"/>
      <x:c r="C39" s="10" t="str">
        <x:v>Alias/secret-manager reference only; never password/session/token.</x:v>
      </x:c>
    </x:row>
    <x:row r="40" ht="52" customHeight="1">
      <x:c r="A40" s="10" t="str">
        <x:v>Account alias: communications_operator</x:v>
      </x:c>
      <x:c r="B40" s="11" t="str"/>
      <x:c r="C40" s="10" t="str">
        <x:v>Alias/secret-manager reference only; never password/session/token.</x:v>
      </x:c>
    </x:row>
    <x:row r="41" ht="52" customHeight="1">
      <x:c r="A41" s="10" t="str">
        <x:v>Account alias: finance_operator</x:v>
      </x:c>
      <x:c r="B41" s="11" t="str"/>
      <x:c r="C41" s="10" t="str">
        <x:v>Alias/secret-manager reference only; never password/session/token.</x:v>
      </x:c>
    </x:row>
    <x:row r="42" ht="52" customHeight="1">
      <x:c r="A42" s="10" t="str">
        <x:v>Account alias: member A</x:v>
      </x:c>
      <x:c r="B42" s="11" t="str"/>
      <x:c r="C42" s="10" t="str">
        <x:v>Alias/secret-manager reference only; never password/session/token.</x:v>
      </x:c>
    </x:row>
    <x:row r="43" ht="52" customHeight="1">
      <x:c r="A43" s="10" t="str">
        <x:v>Account alias: member B</x:v>
      </x:c>
      <x:c r="B43" s="11" t="str"/>
      <x:c r="C43" s="10" t="str">
        <x:v>Alias/secret-manager reference only; never password/session/token.</x:v>
      </x:c>
    </x:row>
    <x:row r="44" ht="52" customHeight="1">
      <x:c r="A44" s="10" t="str">
        <x:v>Account alias: unverified member</x:v>
      </x:c>
      <x:c r="B44" s="11" t="str"/>
      <x:c r="C44" s="10" t="str">
        <x:v>Alias/secret-manager reference only; never password/session/token.</x:v>
      </x:c>
    </x:row>
    <x:row r="45" ht="52" customHeight="1">
      <x:c r="A45" s="10" t="str">
        <x:v>Account alias: held invitation</x:v>
      </x:c>
      <x:c r="B45" s="11" t="str"/>
      <x:c r="C45" s="10" t="str">
        <x:v>Alias/secret-manager reference only; never password/session/token.</x:v>
      </x:c>
    </x:row>
  </x:sheetData>
  <x:dataValidations count="5">
    <x:dataValidation type="list" sqref="B16">
      <x:formula1>"Pending,Complete"</x:formula1>
    </x:dataValidation>
    <x:dataValidation type="list" sqref="B17">
      <x:formula1>"Pending,Complete"</x:formula1>
    </x:dataValidation>
    <x:dataValidation type="list" sqref="B18">
      <x:formula1>"Pending,Complete"</x:formula1>
    </x:dataValidation>
    <x:dataValidation type="list" sqref="B19">
      <x:formula1>"Pending,Complete"</x:formula1>
    </x:dataValidation>
    <x:dataValidation type="list" sqref="B20">
      <x:formula1>"Pending,Approved,Rejected"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" hidden="0" customWidth="1"/>
    <x:col min="2" max="2" width="48" hidden="0" customWidth="1"/>
    <x:col min="3" max="3" width="66" hidden="0" customWidth="1"/>
    <x:col min="4" max="4" width="60" hidden="0" customWidth="1"/>
    <x:col min="5" max="5" width="39" hidden="0" customWidth="1"/>
    <x:col min="6" max="6" width="60" hidden="0" customWidth="1"/>
    <x:col min="7" max="7" width="50" hidden="0" customWidth="1"/>
    <x:col min="8" max="8" width="50" hidden="0" customWidth="1"/>
    <x:col min="9" max="9" width="32" hidden="0" customWidth="1"/>
    <x:col min="10" max="10" width="22" hidden="0" customWidth="1"/>
    <x:col min="11" max="11" width="7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Coverage Inventory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6" customHeight="1">
      <x:c r="A4" s="8" t="str">
        <x:v>Type</x:v>
      </x:c>
      <x:c r="B4" s="8" t="str">
        <x:v>Page / API / entity</x:v>
      </x:c>
      <x:c r="C4" s="8" t="str">
        <x:v>Subsection / method / control</x:v>
      </x:c>
      <x:c r="D4" s="8" t="str">
        <x:v>Permission / actor</x:v>
      </x:c>
      <x:c r="E4" s="8" t="str">
        <x:v>Deployed availability</x:v>
      </x:c>
      <x:c r="F4" s="8" t="str">
        <x:v>Source reference</x:v>
      </x:c>
      <x:c r="G4" s="8" t="str">
        <x:v>Direct database references</x:v>
      </x:c>
      <x:c r="H4" s="8" t="str">
        <x:v>Jobs / external dependency</x:v>
      </x:c>
      <x:c r="I4" s="8" t="str">
        <x:v>Linked case IDs</x:v>
      </x:c>
      <x:c r="J4" s="8" t="str">
        <x:v>Inventory review</x:v>
      </x:c>
      <x:c r="K4" s="8" t="str">
        <x:v>Reason / gaps</x:v>
      </x:c>
    </x:row>
    <x:row r="5" ht="32" customHeight="1">
      <x:c r="A5" s="10" t="str">
        <x:v>Page</x:v>
      </x:c>
      <x:c r="B5" s="10" t="str">
        <x:v>/about</x:v>
      </x:c>
      <x:c r="C5" s="10" t="str">
        <x:v>Direct entry / navigation / reload</x:v>
      </x:c>
      <x:c r="D5" s="10" t="str">
        <x:v>Anonymous / intended audience</x:v>
      </x:c>
      <x:c r="E5" s="11" t="str">
        <x:v>Candidate source; live unverified</x:v>
      </x:c>
      <x:c r="F5" s="10" t="str">
        <x:v>src/app/[page]/page.tsx</x:v>
      </x:c>
      <x:c r="G5" s="11" t="str"/>
      <x:c r="H5" s="11" t="str"/>
      <x:c r="I5" s="11" t="str">
        <x:v>QA-0271</x:v>
      </x:c>
      <x:c r="J5" s="11" t="str">
        <x:v>Not reviewed</x:v>
      </x:c>
      <x:c r="K5" s="11" t="str"/>
    </x:row>
    <x:row r="6" ht="32" customHeight="1">
      <x:c r="A6" s="10" t="str">
        <x:v>Page</x:v>
      </x:c>
      <x:c r="B6" s="10" t="str">
        <x:v>/governance</x:v>
      </x:c>
      <x:c r="C6" s="10" t="str">
        <x:v>Direct entry / navigation / reload</x:v>
      </x:c>
      <x:c r="D6" s="10" t="str">
        <x:v>Anonymous / intended audience</x:v>
      </x:c>
      <x:c r="E6" s="11" t="str">
        <x:v>Candidate source; live unverified</x:v>
      </x:c>
      <x:c r="F6" s="10" t="str">
        <x:v>src/app/[page]/page.tsx</x:v>
      </x:c>
      <x:c r="G6" s="11" t="str"/>
      <x:c r="H6" s="11" t="str"/>
      <x:c r="I6" s="11" t="str">
        <x:v>QA-0272</x:v>
      </x:c>
      <x:c r="J6" s="11" t="str">
        <x:v>Not reviewed</x:v>
      </x:c>
      <x:c r="K6" s="11" t="str"/>
    </x:row>
    <x:row r="7" ht="32" customHeight="1">
      <x:c r="A7" s="10" t="str">
        <x:v>Page</x:v>
      </x:c>
      <x:c r="B7" s="10" t="str">
        <x:v>/membership</x:v>
      </x:c>
      <x:c r="C7" s="10" t="str">
        <x:v>Direct entry / navigation / reload</x:v>
      </x:c>
      <x:c r="D7" s="10" t="str">
        <x:v>Member or own account</x:v>
      </x:c>
      <x:c r="E7" s="11" t="str">
        <x:v>Candidate source; live unverified</x:v>
      </x:c>
      <x:c r="F7" s="10" t="str">
        <x:v>src/app/[page]/page.tsx</x:v>
      </x:c>
      <x:c r="G7" s="11" t="str"/>
      <x:c r="H7" s="11" t="str"/>
      <x:c r="I7" s="11" t="str">
        <x:v>QA-0273</x:v>
      </x:c>
      <x:c r="J7" s="11" t="str">
        <x:v>Not reviewed</x:v>
      </x:c>
      <x:c r="K7" s="11" t="str"/>
    </x:row>
    <x:row r="8" ht="32" customHeight="1">
      <x:c r="A8" s="10" t="str">
        <x:v>Page</x:v>
      </x:c>
      <x:c r="B8" s="10" t="str">
        <x:v>/events</x:v>
      </x:c>
      <x:c r="C8" s="10" t="str">
        <x:v>Direct entry / navigation / reload</x:v>
      </x:c>
      <x:c r="D8" s="10" t="str">
        <x:v>Anonymous / intended audience</x:v>
      </x:c>
      <x:c r="E8" s="11" t="str">
        <x:v>Candidate source; live unverified</x:v>
      </x:c>
      <x:c r="F8" s="10" t="str">
        <x:v>src/app/[page]/page.tsx</x:v>
      </x:c>
      <x:c r="G8" s="11" t="str"/>
      <x:c r="H8" s="11" t="str"/>
      <x:c r="I8" s="11" t="str">
        <x:v>QA-0274</x:v>
      </x:c>
      <x:c r="J8" s="11" t="str">
        <x:v>Not reviewed</x:v>
      </x:c>
      <x:c r="K8" s="11" t="str"/>
    </x:row>
    <x:row r="9" ht="32" customHeight="1">
      <x:c r="A9" s="10" t="str">
        <x:v>Page</x:v>
      </x:c>
      <x:c r="B9" s="10" t="str">
        <x:v>/resources</x:v>
      </x:c>
      <x:c r="C9" s="10" t="str">
        <x:v>Direct entry / navigation / reload</x:v>
      </x:c>
      <x:c r="D9" s="10" t="str">
        <x:v>Anonymous / intended audience</x:v>
      </x:c>
      <x:c r="E9" s="11" t="str">
        <x:v>Candidate source; live unverified</x:v>
      </x:c>
      <x:c r="F9" s="10" t="str">
        <x:v>src/app/[page]/page.tsx</x:v>
      </x:c>
      <x:c r="G9" s="11" t="str"/>
      <x:c r="H9" s="11" t="str"/>
      <x:c r="I9" s="11" t="str">
        <x:v>QA-0275</x:v>
      </x:c>
      <x:c r="J9" s="11" t="str">
        <x:v>Not reviewed</x:v>
      </x:c>
      <x:c r="K9" s="11" t="str"/>
    </x:row>
    <x:row r="10" ht="32" customHeight="1">
      <x:c r="A10" s="10" t="str">
        <x:v>Page</x:v>
      </x:c>
      <x:c r="B10" s="10" t="str">
        <x:v>/contact</x:v>
      </x:c>
      <x:c r="C10" s="10" t="str">
        <x:v>Direct entry / navigation / reload</x:v>
      </x:c>
      <x:c r="D10" s="10" t="str">
        <x:v>Anonymous / intended audience</x:v>
      </x:c>
      <x:c r="E10" s="11" t="str">
        <x:v>Candidate source; live unverified</x:v>
      </x:c>
      <x:c r="F10" s="10" t="str">
        <x:v>src/app/[page]/page.tsx</x:v>
      </x:c>
      <x:c r="G10" s="11" t="str"/>
      <x:c r="H10" s="11" t="str"/>
      <x:c r="I10" s="11" t="str">
        <x:v>QA-0276</x:v>
      </x:c>
      <x:c r="J10" s="11" t="str">
        <x:v>Not reviewed</x:v>
      </x:c>
      <x:c r="K10" s="11" t="str"/>
    </x:row>
    <x:row r="11" ht="32" customHeight="1">
      <x:c r="A11" s="10" t="str">
        <x:v>Page</x:v>
      </x:c>
      <x:c r="B11" s="10" t="str">
        <x:v>/account</x:v>
      </x:c>
      <x:c r="C11" s="10" t="str">
        <x:v>Direct entry / navigation / reload</x:v>
      </x:c>
      <x:c r="D11" s="10" t="str">
        <x:v>Member or own account</x:v>
      </x:c>
      <x:c r="E11" s="11" t="str">
        <x:v>Candidate source; live unverified</x:v>
      </x:c>
      <x:c r="F11" s="10" t="str">
        <x:v>src/app/account/page.tsx</x:v>
      </x:c>
      <x:c r="G11" s="11" t="str"/>
      <x:c r="H11" s="11" t="str"/>
      <x:c r="I11" s="11" t="str">
        <x:v>QA-0277</x:v>
      </x:c>
      <x:c r="J11" s="11" t="str">
        <x:v>Not reviewed</x:v>
      </x:c>
      <x:c r="K11" s="11" t="str"/>
    </x:row>
    <x:row r="12" ht="32" customHeight="1">
      <x:c r="A12" s="10" t="str">
        <x:v>Page</x:v>
      </x:c>
      <x:c r="B12" s="10" t="str">
        <x:v>/account/profile</x:v>
      </x:c>
      <x:c r="C12" s="10" t="str">
        <x:v>Direct entry / navigation / reload</x:v>
      </x:c>
      <x:c r="D12" s="10" t="str">
        <x:v>Member or own account</x:v>
      </x:c>
      <x:c r="E12" s="11" t="str">
        <x:v>Candidate source; live unverified</x:v>
      </x:c>
      <x:c r="F12" s="10" t="str">
        <x:v>src/app/account/profile/page.tsx</x:v>
      </x:c>
      <x:c r="G12" s="11" t="str"/>
      <x:c r="H12" s="11" t="str"/>
      <x:c r="I12" s="11" t="str">
        <x:v>QA-0278</x:v>
      </x:c>
      <x:c r="J12" s="11" t="str">
        <x:v>Not reviewed</x:v>
      </x:c>
      <x:c r="K12" s="11" t="str"/>
    </x:row>
    <x:row r="13" ht="32" customHeight="1">
      <x:c r="A13" s="10" t="str">
        <x:v>Page</x:v>
      </x:c>
      <x:c r="B13" s="10" t="str">
        <x:v>/admin/content/[id]</x:v>
      </x:c>
      <x:c r="C13" s="10" t="str">
        <x:v>Direct entry / navigation / reload</x:v>
      </x:c>
      <x:c r="D13" s="10" t="str">
        <x:v>Authorized staff</x:v>
      </x:c>
      <x:c r="E13" s="11" t="str">
        <x:v>Candidate source; live unverified</x:v>
      </x:c>
      <x:c r="F13" s="10" t="str">
        <x:v>src/app/admin/content/[id]/page.tsx</x:v>
      </x:c>
      <x:c r="G13" s="11" t="str"/>
      <x:c r="H13" s="11" t="str"/>
      <x:c r="I13" s="11" t="str">
        <x:v>QA-0279</x:v>
      </x:c>
      <x:c r="J13" s="11" t="str">
        <x:v>Not reviewed</x:v>
      </x:c>
      <x:c r="K13" s="11" t="str"/>
    </x:row>
    <x:row r="14" ht="32" customHeight="1">
      <x:c r="A14" s="10" t="str">
        <x:v>Page</x:v>
      </x:c>
      <x:c r="B14" s="10" t="str">
        <x:v>/admin</x:v>
      </x:c>
      <x:c r="C14" s="10" t="str">
        <x:v>Direct entry / navigation / reload</x:v>
      </x:c>
      <x:c r="D14" s="10" t="str">
        <x:v>Authorized staff</x:v>
      </x:c>
      <x:c r="E14" s="11" t="str">
        <x:v>Candidate source; live unverified</x:v>
      </x:c>
      <x:c r="F14" s="10" t="str">
        <x:v>src/app/admin/page.tsx</x:v>
      </x:c>
      <x:c r="G14" s="11" t="str"/>
      <x:c r="H14" s="11" t="str"/>
      <x:c r="I14" s="11" t="str">
        <x:v>QA-0280</x:v>
      </x:c>
      <x:c r="J14" s="11" t="str">
        <x:v>Not reviewed</x:v>
      </x:c>
      <x:c r="K14" s="11" t="str"/>
    </x:row>
    <x:row r="15" ht="32" customHeight="1">
      <x:c r="A15" s="10" t="str">
        <x:v>Page</x:v>
      </x:c>
      <x:c r="B15" s="10" t="str">
        <x:v>/admin/workspaces/members</x:v>
      </x:c>
      <x:c r="C15" s="10" t="str">
        <x:v>Direct entry / navigation / reload</x:v>
      </x:c>
      <x:c r="D15" s="10" t="str">
        <x:v>Authorized staff</x:v>
      </x:c>
      <x:c r="E15" s="11" t="str">
        <x:v>Candidate source; live unverified</x:v>
      </x:c>
      <x:c r="F15" s="10" t="str">
        <x:v>src/app/admin/workspaces/[workspace]/page.tsx</x:v>
      </x:c>
      <x:c r="G15" s="11" t="str"/>
      <x:c r="H15" s="11" t="str"/>
      <x:c r="I15" s="11" t="str">
        <x:v>QA-0281</x:v>
      </x:c>
      <x:c r="J15" s="11" t="str">
        <x:v>Not reviewed</x:v>
      </x:c>
      <x:c r="K15" s="11" t="str"/>
    </x:row>
    <x:row r="16" ht="32" customHeight="1">
      <x:c r="A16" s="10" t="str">
        <x:v>Page</x:v>
      </x:c>
      <x:c r="B16" s="10" t="str">
        <x:v>/admin/workspaces/verification</x:v>
      </x:c>
      <x:c r="C16" s="10" t="str">
        <x:v>Direct entry / navigation / reload</x:v>
      </x:c>
      <x:c r="D16" s="10" t="str">
        <x:v>Authorized staff</x:v>
      </x:c>
      <x:c r="E16" s="11" t="str">
        <x:v>Candidate source; live unverified</x:v>
      </x:c>
      <x:c r="F16" s="10" t="str">
        <x:v>src/app/admin/workspaces/[workspace]/page.tsx</x:v>
      </x:c>
      <x:c r="G16" s="11" t="str"/>
      <x:c r="H16" s="11" t="str"/>
      <x:c r="I16" s="11" t="str">
        <x:v>QA-0282</x:v>
      </x:c>
      <x:c r="J16" s="11" t="str">
        <x:v>Not reviewed</x:v>
      </x:c>
      <x:c r="K16" s="11" t="str"/>
    </x:row>
    <x:row r="17" ht="32" customHeight="1">
      <x:c r="A17" s="10" t="str">
        <x:v>Page</x:v>
      </x:c>
      <x:c r="B17" s="10" t="str">
        <x:v>/admin/workspaces/onboarding</x:v>
      </x:c>
      <x:c r="C17" s="10" t="str">
        <x:v>Direct entry / navigation / reload</x:v>
      </x:c>
      <x:c r="D17" s="10" t="str">
        <x:v>Authorized staff</x:v>
      </x:c>
      <x:c r="E17" s="11" t="str">
        <x:v>Candidate source; live unverified</x:v>
      </x:c>
      <x:c r="F17" s="10" t="str">
        <x:v>src/app/admin/workspaces/[workspace]/page.tsx</x:v>
      </x:c>
      <x:c r="G17" s="11" t="str"/>
      <x:c r="H17" s="11" t="str"/>
      <x:c r="I17" s="11" t="str">
        <x:v>QA-0283</x:v>
      </x:c>
      <x:c r="J17" s="11" t="str">
        <x:v>Not reviewed</x:v>
      </x:c>
      <x:c r="K17" s="11" t="str"/>
    </x:row>
    <x:row r="18" ht="32" customHeight="1">
      <x:c r="A18" s="10" t="str">
        <x:v>Page</x:v>
      </x:c>
      <x:c r="B18" s="10" t="str">
        <x:v>/admin/workspaces/crm</x:v>
      </x:c>
      <x:c r="C18" s="10" t="str">
        <x:v>Direct entry / navigation / reload</x:v>
      </x:c>
      <x:c r="D18" s="10" t="str">
        <x:v>Authorized staff</x:v>
      </x:c>
      <x:c r="E18" s="11" t="str">
        <x:v>Candidate source; live unverified</x:v>
      </x:c>
      <x:c r="F18" s="10" t="str">
        <x:v>src/app/admin/workspaces/[workspace]/page.tsx</x:v>
      </x:c>
      <x:c r="G18" s="11" t="str"/>
      <x:c r="H18" s="11" t="str"/>
      <x:c r="I18" s="11" t="str">
        <x:v>QA-0284</x:v>
      </x:c>
      <x:c r="J18" s="11" t="str">
        <x:v>Not reviewed</x:v>
      </x:c>
      <x:c r="K18" s="11" t="str"/>
    </x:row>
    <x:row r="19" ht="32" customHeight="1">
      <x:c r="A19" s="10" t="str">
        <x:v>Page</x:v>
      </x:c>
      <x:c r="B19" s="10" t="str">
        <x:v>/admin/workspaces/communications</x:v>
      </x:c>
      <x:c r="C19" s="10" t="str">
        <x:v>Direct entry / navigation / reload</x:v>
      </x:c>
      <x:c r="D19" s="10" t="str">
        <x:v>Authorized staff</x:v>
      </x:c>
      <x:c r="E19" s="11" t="str">
        <x:v>Candidate source; live unverified</x:v>
      </x:c>
      <x:c r="F19" s="10" t="str">
        <x:v>src/app/admin/workspaces/[workspace]/page.tsx</x:v>
      </x:c>
      <x:c r="G19" s="11" t="str"/>
      <x:c r="H19" s="11" t="str"/>
      <x:c r="I19" s="11" t="str">
        <x:v>QA-0285</x:v>
      </x:c>
      <x:c r="J19" s="11" t="str">
        <x:v>Not reviewed</x:v>
      </x:c>
      <x:c r="K19" s="11" t="str"/>
    </x:row>
    <x:row r="20" ht="32" customHeight="1">
      <x:c r="A20" s="10" t="str">
        <x:v>Page</x:v>
      </x:c>
      <x:c r="B20" s="10" t="str">
        <x:v>/admin/workspaces/events</x:v>
      </x:c>
      <x:c r="C20" s="10" t="str">
        <x:v>Direct entry / navigation / reload</x:v>
      </x:c>
      <x:c r="D20" s="10" t="str">
        <x:v>Authorized staff</x:v>
      </x:c>
      <x:c r="E20" s="11" t="str">
        <x:v>Candidate source; live unverified</x:v>
      </x:c>
      <x:c r="F20" s="10" t="str">
        <x:v>src/app/admin/workspaces/[workspace]/page.tsx</x:v>
      </x:c>
      <x:c r="G20" s="11" t="str"/>
      <x:c r="H20" s="11" t="str"/>
      <x:c r="I20" s="11" t="str">
        <x:v>QA-0286</x:v>
      </x:c>
      <x:c r="J20" s="11" t="str">
        <x:v>Not reviewed</x:v>
      </x:c>
      <x:c r="K20" s="11" t="str"/>
    </x:row>
    <x:row r="21" ht="32" customHeight="1">
      <x:c r="A21" s="10" t="str">
        <x:v>Page</x:v>
      </x:c>
      <x:c r="B21" s="10" t="str">
        <x:v>/admin/workspaces/flyers</x:v>
      </x:c>
      <x:c r="C21" s="10" t="str">
        <x:v>Direct entry / navigation / reload</x:v>
      </x:c>
      <x:c r="D21" s="10" t="str">
        <x:v>Authorized staff</x:v>
      </x:c>
      <x:c r="E21" s="11" t="str">
        <x:v>Candidate source; live unverified</x:v>
      </x:c>
      <x:c r="F21" s="10" t="str">
        <x:v>src/app/admin/workspaces/[workspace]/page.tsx</x:v>
      </x:c>
      <x:c r="G21" s="11" t="str"/>
      <x:c r="H21" s="11" t="str"/>
      <x:c r="I21" s="11" t="str">
        <x:v>QA-0287</x:v>
      </x:c>
      <x:c r="J21" s="11" t="str">
        <x:v>Not reviewed</x:v>
      </x:c>
      <x:c r="K21" s="11" t="str"/>
    </x:row>
    <x:row r="22" ht="32" customHeight="1">
      <x:c r="A22" s="10" t="str">
        <x:v>Page</x:v>
      </x:c>
      <x:c r="B22" s="10" t="str">
        <x:v>/admin/workspaces/imports</x:v>
      </x:c>
      <x:c r="C22" s="10" t="str">
        <x:v>Direct entry / navigation / reload</x:v>
      </x:c>
      <x:c r="D22" s="10" t="str">
        <x:v>Authorized staff</x:v>
      </x:c>
      <x:c r="E22" s="11" t="str">
        <x:v>Candidate source; live unverified</x:v>
      </x:c>
      <x:c r="F22" s="10" t="str">
        <x:v>src/app/admin/workspaces/[workspace]/page.tsx</x:v>
      </x:c>
      <x:c r="G22" s="11" t="str"/>
      <x:c r="H22" s="11" t="str"/>
      <x:c r="I22" s="11" t="str">
        <x:v>QA-0288</x:v>
      </x:c>
      <x:c r="J22" s="11" t="str">
        <x:v>Not reviewed</x:v>
      </x:c>
      <x:c r="K22" s="11" t="str"/>
    </x:row>
    <x:row r="23" ht="32" customHeight="1">
      <x:c r="A23" s="10" t="str">
        <x:v>Page</x:v>
      </x:c>
      <x:c r="B23" s="10" t="str">
        <x:v>/admin/workspaces/website</x:v>
      </x:c>
      <x:c r="C23" s="10" t="str">
        <x:v>Direct entry / navigation / reload</x:v>
      </x:c>
      <x:c r="D23" s="10" t="str">
        <x:v>Authorized staff</x:v>
      </x:c>
      <x:c r="E23" s="11" t="str">
        <x:v>Candidate source; live unverified</x:v>
      </x:c>
      <x:c r="F23" s="10" t="str">
        <x:v>src/app/admin/workspaces/[workspace]/page.tsx</x:v>
      </x:c>
      <x:c r="G23" s="11" t="str"/>
      <x:c r="H23" s="11" t="str"/>
      <x:c r="I23" s="11" t="str">
        <x:v>QA-0289</x:v>
      </x:c>
      <x:c r="J23" s="11" t="str">
        <x:v>Not reviewed</x:v>
      </x:c>
      <x:c r="K23" s="11" t="str"/>
    </x:row>
    <x:row r="24" ht="32" customHeight="1">
      <x:c r="A24" s="10" t="str">
        <x:v>Page</x:v>
      </x:c>
      <x:c r="B24" s="10" t="str">
        <x:v>/admin/workspaces/content</x:v>
      </x:c>
      <x:c r="C24" s="10" t="str">
        <x:v>Direct entry / navigation / reload</x:v>
      </x:c>
      <x:c r="D24" s="10" t="str">
        <x:v>Authorized staff</x:v>
      </x:c>
      <x:c r="E24" s="11" t="str">
        <x:v>Candidate source; live unverified</x:v>
      </x:c>
      <x:c r="F24" s="10" t="str">
        <x:v>src/app/admin/workspaces/[workspace]/page.tsx</x:v>
      </x:c>
      <x:c r="G24" s="11" t="str"/>
      <x:c r="H24" s="11" t="str"/>
      <x:c r="I24" s="11" t="str">
        <x:v>QA-0290</x:v>
      </x:c>
      <x:c r="J24" s="11" t="str">
        <x:v>Not reviewed</x:v>
      </x:c>
      <x:c r="K24" s="11" t="str"/>
    </x:row>
    <x:row r="25" ht="32" customHeight="1">
      <x:c r="A25" s="10" t="str">
        <x:v>Page</x:v>
      </x:c>
      <x:c r="B25" s="10" t="str">
        <x:v>/admin/workspaces/media</x:v>
      </x:c>
      <x:c r="C25" s="10" t="str">
        <x:v>Direct entry / navigation / reload</x:v>
      </x:c>
      <x:c r="D25" s="10" t="str">
        <x:v>Authorized staff</x:v>
      </x:c>
      <x:c r="E25" s="11" t="str">
        <x:v>Candidate source; live unverified</x:v>
      </x:c>
      <x:c r="F25" s="10" t="str">
        <x:v>src/app/admin/workspaces/[workspace]/page.tsx</x:v>
      </x:c>
      <x:c r="G25" s="11" t="str"/>
      <x:c r="H25" s="11" t="str"/>
      <x:c r="I25" s="11" t="str">
        <x:v>QA-0291</x:v>
      </x:c>
      <x:c r="J25" s="11" t="str">
        <x:v>Not reviewed</x:v>
      </x:c>
      <x:c r="K25" s="11" t="str"/>
    </x:row>
    <x:row r="26" ht="32" customHeight="1">
      <x:c r="A26" s="10" t="str">
        <x:v>Page</x:v>
      </x:c>
      <x:c r="B26" s="10" t="str">
        <x:v>/admin/workspaces/governance</x:v>
      </x:c>
      <x:c r="C26" s="10" t="str">
        <x:v>Direct entry / navigation / reload</x:v>
      </x:c>
      <x:c r="D26" s="10" t="str">
        <x:v>Authorized staff</x:v>
      </x:c>
      <x:c r="E26" s="11" t="str">
        <x:v>Candidate source; live unverified</x:v>
      </x:c>
      <x:c r="F26" s="10" t="str">
        <x:v>src/app/admin/workspaces/[workspace]/page.tsx</x:v>
      </x:c>
      <x:c r="G26" s="11" t="str"/>
      <x:c r="H26" s="11" t="str"/>
      <x:c r="I26" s="11" t="str">
        <x:v>QA-0292</x:v>
      </x:c>
      <x:c r="J26" s="11" t="str">
        <x:v>Not reviewed</x:v>
      </x:c>
      <x:c r="K26" s="11" t="str"/>
    </x:row>
    <x:row r="27" ht="32" customHeight="1">
      <x:c r="A27" s="10" t="str">
        <x:v>Page</x:v>
      </x:c>
      <x:c r="B27" s="10" t="str">
        <x:v>/admin/workspaces/payments</x:v>
      </x:c>
      <x:c r="C27" s="10" t="str">
        <x:v>Direct entry / navigation / reload</x:v>
      </x:c>
      <x:c r="D27" s="10" t="str">
        <x:v>Authorized staff</x:v>
      </x:c>
      <x:c r="E27" s="11" t="str">
        <x:v>Candidate source; live unverified</x:v>
      </x:c>
      <x:c r="F27" s="10" t="str">
        <x:v>src/app/admin/workspaces/[workspace]/page.tsx</x:v>
      </x:c>
      <x:c r="G27" s="11" t="str"/>
      <x:c r="H27" s="11" t="str"/>
      <x:c r="I27" s="11" t="str">
        <x:v>QA-0293</x:v>
      </x:c>
      <x:c r="J27" s="11" t="str">
        <x:v>Not reviewed</x:v>
      </x:c>
      <x:c r="K27" s="11" t="str"/>
    </x:row>
    <x:row r="28" ht="32" customHeight="1">
      <x:c r="A28" s="10" t="str">
        <x:v>Page</x:v>
      </x:c>
      <x:c r="B28" s="10" t="str">
        <x:v>/admin/workspaces/onboarding-email</x:v>
      </x:c>
      <x:c r="C28" s="10" t="str">
        <x:v>Direct entry / navigation / reload</x:v>
      </x:c>
      <x:c r="D28" s="10" t="str">
        <x:v>Authorized staff</x:v>
      </x:c>
      <x:c r="E28" s="11" t="str">
        <x:v>Candidate source; live unverified</x:v>
      </x:c>
      <x:c r="F28" s="10" t="str">
        <x:v>src/app/admin/workspaces/[workspace]/page.tsx</x:v>
      </x:c>
      <x:c r="G28" s="11" t="str"/>
      <x:c r="H28" s="11" t="str"/>
      <x:c r="I28" s="11" t="str">
        <x:v>QA-0294</x:v>
      </x:c>
      <x:c r="J28" s="11" t="str">
        <x:v>Not reviewed</x:v>
      </x:c>
      <x:c r="K28" s="11" t="str"/>
    </x:row>
    <x:row r="29" ht="32" customHeight="1">
      <x:c r="A29" s="10" t="str">
        <x:v>Page</x:v>
      </x:c>
      <x:c r="B29" s="10" t="str">
        <x:v>/admin/workspaces/reports</x:v>
      </x:c>
      <x:c r="C29" s="10" t="str">
        <x:v>Direct entry / navigation / reload</x:v>
      </x:c>
      <x:c r="D29" s="10" t="str">
        <x:v>Authorized staff</x:v>
      </x:c>
      <x:c r="E29" s="11" t="str">
        <x:v>Candidate source; live unverified</x:v>
      </x:c>
      <x:c r="F29" s="10" t="str">
        <x:v>src/app/admin/workspaces/[workspace]/page.tsx</x:v>
      </x:c>
      <x:c r="G29" s="11" t="str"/>
      <x:c r="H29" s="11" t="str"/>
      <x:c r="I29" s="11" t="str">
        <x:v>QA-0295</x:v>
      </x:c>
      <x:c r="J29" s="11" t="str">
        <x:v>Not reviewed</x:v>
      </x:c>
      <x:c r="K29" s="11" t="str"/>
    </x:row>
    <x:row r="30" ht="32" customHeight="1">
      <x:c r="A30" s="10" t="str">
        <x:v>Page</x:v>
      </x:c>
      <x:c r="B30" s="10" t="str">
        <x:v>/admin/workspaces/access</x:v>
      </x:c>
      <x:c r="C30" s="10" t="str">
        <x:v>Direct entry / navigation / reload</x:v>
      </x:c>
      <x:c r="D30" s="10" t="str">
        <x:v>Authorized staff</x:v>
      </x:c>
      <x:c r="E30" s="11" t="str">
        <x:v>Candidate source; live unverified</x:v>
      </x:c>
      <x:c r="F30" s="10" t="str">
        <x:v>src/app/admin/workspaces/[workspace]/page.tsx</x:v>
      </x:c>
      <x:c r="G30" s="11" t="str"/>
      <x:c r="H30" s="11" t="str"/>
      <x:c r="I30" s="11" t="str">
        <x:v>QA-0296</x:v>
      </x:c>
      <x:c r="J30" s="11" t="str">
        <x:v>Not reviewed</x:v>
      </x:c>
      <x:c r="K30" s="11" t="str"/>
    </x:row>
    <x:row r="31" ht="32" customHeight="1">
      <x:c r="A31" s="10" t="str">
        <x:v>Page</x:v>
      </x:c>
      <x:c r="B31" s="10" t="str">
        <x:v>/email-verification</x:v>
      </x:c>
      <x:c r="C31" s="10" t="str">
        <x:v>Direct entry / navigation / reload</x:v>
      </x:c>
      <x:c r="D31" s="10" t="str">
        <x:v>Anonymous / intended audience</x:v>
      </x:c>
      <x:c r="E31" s="11" t="str">
        <x:v>Candidate source; live unverified</x:v>
      </x:c>
      <x:c r="F31" s="10" t="str">
        <x:v>src/app/email-verification/page.tsx</x:v>
      </x:c>
      <x:c r="G31" s="11" t="str"/>
      <x:c r="H31" s="11" t="str"/>
      <x:c r="I31" s="11" t="str">
        <x:v>QA-0297</x:v>
      </x:c>
      <x:c r="J31" s="11" t="str">
        <x:v>Not reviewed</x:v>
      </x:c>
      <x:c r="K31" s="11" t="str"/>
    </x:row>
    <x:row r="32" ht="32" customHeight="1">
      <x:c r="A32" s="10" t="str">
        <x:v>Page</x:v>
      </x:c>
      <x:c r="B32" s="10" t="str">
        <x:v>/events/[id]</x:v>
      </x:c>
      <x:c r="C32" s="10" t="str">
        <x:v>Direct entry / navigation / reload</x:v>
      </x:c>
      <x:c r="D32" s="10" t="str">
        <x:v>Anonymous / intended audience</x:v>
      </x:c>
      <x:c r="E32" s="11" t="str">
        <x:v>Candidate source; live unverified</x:v>
      </x:c>
      <x:c r="F32" s="10" t="str">
        <x:v>src/app/events/[id]/page.tsx</x:v>
      </x:c>
      <x:c r="G32" s="11" t="str"/>
      <x:c r="H32" s="11" t="str"/>
      <x:c r="I32" s="11" t="str">
        <x:v>QA-0298</x:v>
      </x:c>
      <x:c r="J32" s="11" t="str">
        <x:v>Not reviewed</x:v>
      </x:c>
      <x:c r="K32" s="11" t="str"/>
    </x:row>
    <x:row r="33" ht="32" customHeight="1">
      <x:c r="A33" s="10" t="str">
        <x:v>Page</x:v>
      </x:c>
      <x:c r="B33" s="10" t="str">
        <x:v>/flyers/[id]</x:v>
      </x:c>
      <x:c r="C33" s="10" t="str">
        <x:v>Direct entry / navigation / reload</x:v>
      </x:c>
      <x:c r="D33" s="10" t="str">
        <x:v>Anonymous / intended audience</x:v>
      </x:c>
      <x:c r="E33" s="11" t="str">
        <x:v>Candidate source; live unverified</x:v>
      </x:c>
      <x:c r="F33" s="10" t="str">
        <x:v>src/app/flyers/[id]/page.tsx</x:v>
      </x:c>
      <x:c r="G33" s="11" t="str"/>
      <x:c r="H33" s="11" t="str"/>
      <x:c r="I33" s="11" t="str">
        <x:v>QA-0299</x:v>
      </x:c>
      <x:c r="J33" s="11" t="str">
        <x:v>Not reviewed</x:v>
      </x:c>
      <x:c r="K33" s="11" t="str"/>
    </x:row>
    <x:row r="34" ht="32" customHeight="1">
      <x:c r="A34" s="10" t="str">
        <x:v>Page</x:v>
      </x:c>
      <x:c r="B34" s="10" t="str">
        <x:v>/forgot-password</x:v>
      </x:c>
      <x:c r="C34" s="10" t="str">
        <x:v>Direct entry / navigation / reload</x:v>
      </x:c>
      <x:c r="D34" s="10" t="str">
        <x:v>Anonymous / intended audience</x:v>
      </x:c>
      <x:c r="E34" s="11" t="str">
        <x:v>Candidate source; live unverified</x:v>
      </x:c>
      <x:c r="F34" s="10" t="str">
        <x:v>src/app/forgot-password/page.tsx</x:v>
      </x:c>
      <x:c r="G34" s="11" t="str"/>
      <x:c r="H34" s="11" t="str"/>
      <x:c r="I34" s="11" t="str">
        <x:v>QA-0300</x:v>
      </x:c>
      <x:c r="J34" s="11" t="str">
        <x:v>Not reviewed</x:v>
      </x:c>
      <x:c r="K34" s="11" t="str"/>
    </x:row>
    <x:row r="35" ht="32" customHeight="1">
      <x:c r="A35" s="10" t="str">
        <x:v>Page</x:v>
      </x:c>
      <x:c r="B35" s="10" t="str">
        <x:v>/invitation</x:v>
      </x:c>
      <x:c r="C35" s="10" t="str">
        <x:v>Direct entry / navigation / reload</x:v>
      </x:c>
      <x:c r="D35" s="10" t="str">
        <x:v>Anonymous / intended audience</x:v>
      </x:c>
      <x:c r="E35" s="11" t="str">
        <x:v>Candidate source; live unverified</x:v>
      </x:c>
      <x:c r="F35" s="10" t="str">
        <x:v>src/app/invitation/page.tsx</x:v>
      </x:c>
      <x:c r="G35" s="11" t="str"/>
      <x:c r="H35" s="11" t="str"/>
      <x:c r="I35" s="11" t="str">
        <x:v>QA-0301</x:v>
      </x:c>
      <x:c r="J35" s="11" t="str">
        <x:v>Not reviewed</x:v>
      </x:c>
      <x:c r="K35" s="11" t="str"/>
    </x:row>
    <x:row r="36" ht="32" customHeight="1">
      <x:c r="A36" s="10" t="str">
        <x:v>Page</x:v>
      </x:c>
      <x:c r="B36" s="10" t="str">
        <x:v>/join</x:v>
      </x:c>
      <x:c r="C36" s="10" t="str">
        <x:v>Direct entry / navigation / reload</x:v>
      </x:c>
      <x:c r="D36" s="10" t="str">
        <x:v>Anonymous / intended audience</x:v>
      </x:c>
      <x:c r="E36" s="11" t="str">
        <x:v>Candidate source; live unverified</x:v>
      </x:c>
      <x:c r="F36" s="10" t="str">
        <x:v>src/app/join/page.tsx</x:v>
      </x:c>
      <x:c r="G36" s="11" t="str"/>
      <x:c r="H36" s="11" t="str"/>
      <x:c r="I36" s="11" t="str">
        <x:v>QA-0302</x:v>
      </x:c>
      <x:c r="J36" s="11" t="str">
        <x:v>Not reviewed</x:v>
      </x:c>
      <x:c r="K36" s="11" t="str"/>
    </x:row>
    <x:row r="37" ht="32" customHeight="1">
      <x:c r="A37" s="10" t="str">
        <x:v>Page</x:v>
      </x:c>
      <x:c r="B37" s="10" t="str">
        <x:v>/login</x:v>
      </x:c>
      <x:c r="C37" s="10" t="str">
        <x:v>Direct entry / navigation / reload</x:v>
      </x:c>
      <x:c r="D37" s="10" t="str">
        <x:v>Anonymous / intended audience</x:v>
      </x:c>
      <x:c r="E37" s="11" t="str">
        <x:v>Candidate source; live unverified</x:v>
      </x:c>
      <x:c r="F37" s="10" t="str">
        <x:v>src/app/login/page.tsx</x:v>
      </x:c>
      <x:c r="G37" s="11" t="str"/>
      <x:c r="H37" s="11" t="str"/>
      <x:c r="I37" s="11" t="str">
        <x:v>QA-0303</x:v>
      </x:c>
      <x:c r="J37" s="11" t="str">
        <x:v>Not reviewed</x:v>
      </x:c>
      <x:c r="K37" s="11" t="str"/>
    </x:row>
    <x:row r="38" ht="32" customHeight="1">
      <x:c r="A38" s="10" t="str">
        <x:v>Page</x:v>
      </x:c>
      <x:c r="B38" s="10" t="str">
        <x:v>/member/application</x:v>
      </x:c>
      <x:c r="C38" s="10" t="str">
        <x:v>Direct entry / navigation / reload</x:v>
      </x:c>
      <x:c r="D38" s="10" t="str">
        <x:v>Member or own account</x:v>
      </x:c>
      <x:c r="E38" s="11" t="str">
        <x:v>Candidate source; live unverified</x:v>
      </x:c>
      <x:c r="F38" s="10" t="str">
        <x:v>src/app/member/application/page.tsx</x:v>
      </x:c>
      <x:c r="G38" s="11" t="str"/>
      <x:c r="H38" s="11" t="str"/>
      <x:c r="I38" s="11" t="str">
        <x:v>QA-0304</x:v>
      </x:c>
      <x:c r="J38" s="11" t="str">
        <x:v>Not reviewed</x:v>
      </x:c>
      <x:c r="K38" s="11" t="str"/>
    </x:row>
    <x:row r="39" ht="32" customHeight="1">
      <x:c r="A39" s="10" t="str">
        <x:v>Page</x:v>
      </x:c>
      <x:c r="B39" s="10" t="str">
        <x:v>/member/events</x:v>
      </x:c>
      <x:c r="C39" s="10" t="str">
        <x:v>Direct entry / navigation / reload</x:v>
      </x:c>
      <x:c r="D39" s="10" t="str">
        <x:v>Member or own account</x:v>
      </x:c>
      <x:c r="E39" s="11" t="str">
        <x:v>Candidate source; live unverified</x:v>
      </x:c>
      <x:c r="F39" s="10" t="str">
        <x:v>src/app/member/events/page.tsx</x:v>
      </x:c>
      <x:c r="G39" s="11" t="str"/>
      <x:c r="H39" s="11" t="str"/>
      <x:c r="I39" s="11" t="str">
        <x:v>QA-0305</x:v>
      </x:c>
      <x:c r="J39" s="11" t="str">
        <x:v>Not reviewed</x:v>
      </x:c>
      <x:c r="K39" s="11" t="str"/>
    </x:row>
    <x:row r="40" ht="32" customHeight="1">
      <x:c r="A40" s="10" t="str">
        <x:v>Page</x:v>
      </x:c>
      <x:c r="B40" s="10" t="str">
        <x:v>/member/inquiries</x:v>
      </x:c>
      <x:c r="C40" s="10" t="str">
        <x:v>Direct entry / navigation / reload</x:v>
      </x:c>
      <x:c r="D40" s="10" t="str">
        <x:v>Member or own account</x:v>
      </x:c>
      <x:c r="E40" s="11" t="str">
        <x:v>Candidate source; live unverified</x:v>
      </x:c>
      <x:c r="F40" s="10" t="str">
        <x:v>src/app/member/inquiries/page.tsx</x:v>
      </x:c>
      <x:c r="G40" s="11" t="str"/>
      <x:c r="H40" s="11" t="str"/>
      <x:c r="I40" s="11" t="str">
        <x:v>QA-0306</x:v>
      </x:c>
      <x:c r="J40" s="11" t="str">
        <x:v>Not reviewed</x:v>
      </x:c>
      <x:c r="K40" s="11" t="str"/>
    </x:row>
    <x:row r="41" ht="32" customHeight="1">
      <x:c r="A41" s="10" t="str">
        <x:v>Page</x:v>
      </x:c>
      <x:c r="B41" s="10" t="str">
        <x:v>/member</x:v>
      </x:c>
      <x:c r="C41" s="10" t="str">
        <x:v>Direct entry / navigation / reload</x:v>
      </x:c>
      <x:c r="D41" s="10" t="str">
        <x:v>Member or own account</x:v>
      </x:c>
      <x:c r="E41" s="11" t="str">
        <x:v>Candidate source; live unverified</x:v>
      </x:c>
      <x:c r="F41" s="10" t="str">
        <x:v>src/app/member/page.tsx</x:v>
      </x:c>
      <x:c r="G41" s="11" t="str"/>
      <x:c r="H41" s="11" t="str"/>
      <x:c r="I41" s="11" t="str">
        <x:v>QA-0307</x:v>
      </x:c>
      <x:c r="J41" s="11" t="str">
        <x:v>Not reviewed</x:v>
      </x:c>
      <x:c r="K41" s="11" t="str"/>
    </x:row>
    <x:row r="42" ht="32" customHeight="1">
      <x:c r="A42" s="10" t="str">
        <x:v>Page</x:v>
      </x:c>
      <x:c r="B42" s="10" t="str">
        <x:v>/member/payments</x:v>
      </x:c>
      <x:c r="C42" s="10" t="str">
        <x:v>Direct entry / navigation / reload</x:v>
      </x:c>
      <x:c r="D42" s="10" t="str">
        <x:v>Member or own account</x:v>
      </x:c>
      <x:c r="E42" s="11" t="str">
        <x:v>Candidate source; live unverified</x:v>
      </x:c>
      <x:c r="F42" s="10" t="str">
        <x:v>src/app/member/payments/page.tsx</x:v>
      </x:c>
      <x:c r="G42" s="11" t="str"/>
      <x:c r="H42" s="11" t="str"/>
      <x:c r="I42" s="11" t="str">
        <x:v>QA-0308</x:v>
      </x:c>
      <x:c r="J42" s="11" t="str">
        <x:v>Not reviewed</x:v>
      </x:c>
      <x:c r="K42" s="11" t="str"/>
    </x:row>
    <x:row r="43" ht="32" customHeight="1">
      <x:c r="A43" s="10" t="str">
        <x:v>Page</x:v>
      </x:c>
      <x:c r="B43" s="10" t="str">
        <x:v>/member/security</x:v>
      </x:c>
      <x:c r="C43" s="10" t="str">
        <x:v>Direct entry / navigation / reload</x:v>
      </x:c>
      <x:c r="D43" s="10" t="str">
        <x:v>Member or own account</x:v>
      </x:c>
      <x:c r="E43" s="11" t="str">
        <x:v>Candidate source; live unverified</x:v>
      </x:c>
      <x:c r="F43" s="10" t="str">
        <x:v>src/app/member/security/page.tsx</x:v>
      </x:c>
      <x:c r="G43" s="11" t="str"/>
      <x:c r="H43" s="11" t="str"/>
      <x:c r="I43" s="11" t="str">
        <x:v>QA-0309</x:v>
      </x:c>
      <x:c r="J43" s="11" t="str">
        <x:v>Not reviewed</x:v>
      </x:c>
      <x:c r="K43" s="11" t="str"/>
    </x:row>
    <x:row r="44" ht="32" customHeight="1">
      <x:c r="A44" s="10" t="str">
        <x:v>Page</x:v>
      </x:c>
      <x:c r="B44" s="10" t="str">
        <x:v>/</x:v>
      </x:c>
      <x:c r="C44" s="10" t="str">
        <x:v>Direct entry / navigation / reload</x:v>
      </x:c>
      <x:c r="D44" s="10" t="str">
        <x:v>Anonymous / intended audience</x:v>
      </x:c>
      <x:c r="E44" s="11" t="str">
        <x:v>Candidate source; live unverified</x:v>
      </x:c>
      <x:c r="F44" s="10" t="str">
        <x:v>src/app/page.tsx</x:v>
      </x:c>
      <x:c r="G44" s="11" t="str"/>
      <x:c r="H44" s="11" t="str"/>
      <x:c r="I44" s="11" t="str">
        <x:v>QA-0310</x:v>
      </x:c>
      <x:c r="J44" s="11" t="str">
        <x:v>Not reviewed</x:v>
      </x:c>
      <x:c r="K44" s="11" t="str"/>
    </x:row>
    <x:row r="45" ht="32" customHeight="1">
      <x:c r="A45" s="10" t="str">
        <x:v>Page</x:v>
      </x:c>
      <x:c r="B45" s="10" t="str">
        <x:v>/preview/admin</x:v>
      </x:c>
      <x:c r="C45" s="10" t="str">
        <x:v>Direct entry / navigation / reload</x:v>
      </x:c>
      <x:c r="D45" s="10" t="str">
        <x:v>Authorized staff</x:v>
      </x:c>
      <x:c r="E45" s="11" t="str">
        <x:v>Candidate source; live unverified</x:v>
      </x:c>
      <x:c r="F45" s="10" t="str">
        <x:v>src/app/preview/admin/page.tsx</x:v>
      </x:c>
      <x:c r="G45" s="11" t="str"/>
      <x:c r="H45" s="11" t="str"/>
      <x:c r="I45" s="11" t="str">
        <x:v>QA-0311</x:v>
      </x:c>
      <x:c r="J45" s="11" t="str">
        <x:v>Not reviewed</x:v>
      </x:c>
      <x:c r="K45" s="11" t="str"/>
    </x:row>
    <x:row r="46" ht="32" customHeight="1">
      <x:c r="A46" s="10" t="str">
        <x:v>Page</x:v>
      </x:c>
      <x:c r="B46" s="10" t="str">
        <x:v>/preview/admin/workspaces/[workspace]</x:v>
      </x:c>
      <x:c r="C46" s="10" t="str">
        <x:v>Direct entry / navigation / reload</x:v>
      </x:c>
      <x:c r="D46" s="10" t="str">
        <x:v>Authorized staff</x:v>
      </x:c>
      <x:c r="E46" s="11" t="str">
        <x:v>Candidate source; live unverified</x:v>
      </x:c>
      <x:c r="F46" s="10" t="str">
        <x:v>src/app/preview/admin/workspaces/[workspace]/page.tsx</x:v>
      </x:c>
      <x:c r="G46" s="11" t="str"/>
      <x:c r="H46" s="11" t="str"/>
      <x:c r="I46" s="11" t="str">
        <x:v>QA-0312</x:v>
      </x:c>
      <x:c r="J46" s="11" t="str">
        <x:v>Not reviewed</x:v>
      </x:c>
      <x:c r="K46" s="11" t="str"/>
    </x:row>
    <x:row r="47" ht="32" customHeight="1">
      <x:c r="A47" s="10" t="str">
        <x:v>Page</x:v>
      </x:c>
      <x:c r="B47" s="10" t="str">
        <x:v>/reset-password</x:v>
      </x:c>
      <x:c r="C47" s="10" t="str">
        <x:v>Direct entry / navigation / reload</x:v>
      </x:c>
      <x:c r="D47" s="10" t="str">
        <x:v>Anonymous / intended audience</x:v>
      </x:c>
      <x:c r="E47" s="11" t="str">
        <x:v>Candidate source; live unverified</x:v>
      </x:c>
      <x:c r="F47" s="10" t="str">
        <x:v>src/app/reset-password/page.tsx</x:v>
      </x:c>
      <x:c r="G47" s="11" t="str"/>
      <x:c r="H47" s="11" t="str"/>
      <x:c r="I47" s="11" t="str">
        <x:v>QA-0313</x:v>
      </x:c>
      <x:c r="J47" s="11" t="str">
        <x:v>Not reviewed</x:v>
      </x:c>
      <x:c r="K47" s="11" t="str"/>
    </x:row>
    <x:row r="48" ht="32" customHeight="1">
      <x:c r="A48" s="10" t="str">
        <x:v>Page</x:v>
      </x:c>
      <x:c r="B48" s="10" t="str">
        <x:v>/resources/[slug]</x:v>
      </x:c>
      <x:c r="C48" s="10" t="str">
        <x:v>Direct entry / navigation / reload</x:v>
      </x:c>
      <x:c r="D48" s="10" t="str">
        <x:v>Anonymous / intended audience</x:v>
      </x:c>
      <x:c r="E48" s="11" t="str">
        <x:v>Candidate source; live unverified</x:v>
      </x:c>
      <x:c r="F48" s="10" t="str">
        <x:v>src/app/resources/[slug]/page.tsx</x:v>
      </x:c>
      <x:c r="G48" s="11" t="str"/>
      <x:c r="H48" s="11" t="str"/>
      <x:c r="I48" s="11" t="str">
        <x:v>QA-0314</x:v>
      </x:c>
      <x:c r="J48" s="11" t="str">
        <x:v>Not reviewed</x:v>
      </x:c>
      <x:c r="K48" s="11" t="str"/>
    </x:row>
    <x:row r="49" ht="32" customHeight="1">
      <x:c r="A49" s="10" t="str">
        <x:v>Page</x:v>
      </x:c>
      <x:c r="B49" s="10" t="str">
        <x:v>/signup</x:v>
      </x:c>
      <x:c r="C49" s="10" t="str">
        <x:v>Direct entry / navigation / reload</x:v>
      </x:c>
      <x:c r="D49" s="10" t="str">
        <x:v>Anonymous / intended audience</x:v>
      </x:c>
      <x:c r="E49" s="11" t="str">
        <x:v>Candidate source; live unverified</x:v>
      </x:c>
      <x:c r="F49" s="10" t="str">
        <x:v>src/app/signup/page.tsx</x:v>
      </x:c>
      <x:c r="G49" s="11" t="str"/>
      <x:c r="H49" s="11" t="str"/>
      <x:c r="I49" s="11" t="str">
        <x:v>QA-0315</x:v>
      </x:c>
      <x:c r="J49" s="11" t="str">
        <x:v>Not reviewed</x:v>
      </x:c>
      <x:c r="K49" s="11" t="str"/>
    </x:row>
    <x:row r="50" ht="32" customHeight="1">
      <x:c r="A50" s="10" t="str">
        <x:v>Page</x:v>
      </x:c>
      <x:c r="B50" s="10" t="str">
        <x:v>/unsubscribe</x:v>
      </x:c>
      <x:c r="C50" s="10" t="str">
        <x:v>Direct entry / navigation / reload</x:v>
      </x:c>
      <x:c r="D50" s="10" t="str">
        <x:v>Anonymous / intended audience</x:v>
      </x:c>
      <x:c r="E50" s="11" t="str">
        <x:v>Candidate source; live unverified</x:v>
      </x:c>
      <x:c r="F50" s="10" t="str">
        <x:v>src/app/unsubscribe/page.tsx</x:v>
      </x:c>
      <x:c r="G50" s="11" t="str"/>
      <x:c r="H50" s="11" t="str"/>
      <x:c r="I50" s="11" t="str">
        <x:v>QA-0316</x:v>
      </x:c>
      <x:c r="J50" s="11" t="str">
        <x:v>Not reviewed</x:v>
      </x:c>
      <x:c r="K50" s="11" t="str"/>
    </x:row>
    <x:row r="51" ht="38" customHeight="1">
      <x:c r="A51" s="10" t="str">
        <x:v>API</x:v>
      </x:c>
      <x:c r="B51" s="10" t="str">
        <x:v>/api/attention</x:v>
      </x:c>
      <x:c r="C51" s="10" t="str">
        <x:v>GET; explicit equality actions: Inspect body/query and delegated services</x:v>
      </x:c>
      <x:c r="D51" s="10" t="str">
        <x:v>Route-specific ownership/publication policy; inspect handler and delegated services</x:v>
      </x:c>
      <x:c r="E51" s="11" t="str">
        <x:v>Candidate source; live unverified</x:v>
      </x:c>
      <x:c r="F51" s="10" t="str">
        <x:v>src/app/api/attention/route.ts</x:v>
      </x:c>
      <x:c r="G51" s="11" t="str"/>
      <x:c r="H51" s="11" t="str">
        <x:v>DB / auth / storage / email where referenced</x:v>
      </x:c>
      <x:c r="I51" s="11" t="str">
        <x:v>QA-0317</x:v>
      </x:c>
      <x:c r="J51" s="11" t="str">
        <x:v>Not reviewed</x:v>
      </x:c>
      <x:c r="K51" s="11" t="str">
        <x:v>Static table/action extraction is partial; complete delegated-service mapping during inventory review.</x:v>
      </x:c>
    </x:row>
    <x:row r="52" ht="38" customHeight="1">
      <x:c r="A52" s="10" t="str">
        <x:v>API</x:v>
      </x:c>
      <x:c r="B52" s="10" t="str">
        <x:v>/api/auth/[...all]</x:v>
      </x:c>
      <x:c r="C52" s="10" t="str">
        <x:v>GET, POST; explicit equality actions: Inspect body/query and delegated services</x:v>
      </x:c>
      <x:c r="D52" s="10" t="str">
        <x:v>Authentication/token/ownership dependent; inspect handler</x:v>
      </x:c>
      <x:c r="E52" s="11" t="str">
        <x:v>Candidate source; live unverified</x:v>
      </x:c>
      <x:c r="F52" s="10" t="str">
        <x:v>src/app/api/auth/[...all]/route.ts</x:v>
      </x:c>
      <x:c r="G52" s="11" t="str"/>
      <x:c r="H52" s="11" t="str">
        <x:v>DB / auth / storage / email where referenced</x:v>
      </x:c>
      <x:c r="I52" s="11" t="str">
        <x:v>QA-0318 to QA-0319</x:v>
      </x:c>
      <x:c r="J52" s="11" t="str">
        <x:v>Not reviewed</x:v>
      </x:c>
      <x:c r="K52" s="11" t="str">
        <x:v>Static table/action extraction is partial; complete delegated-service mapping during inventory review.</x:v>
      </x:c>
    </x:row>
    <x:row r="53" ht="38" customHeight="1">
      <x:c r="A53" s="10" t="str">
        <x:v>API</x:v>
      </x:c>
      <x:c r="B53" s="10" t="str">
        <x:v>/api/documents/[id]</x:v>
      </x:c>
      <x:c r="C53" s="10" t="str">
        <x:v>GET; explicit equality actions: Inspect body/query and delegated services</x:v>
      </x:c>
      <x:c r="D53" s="10" t="str">
        <x:v>Route-specific ownership/publication policy; inspect handler and delegated services</x:v>
      </x:c>
      <x:c r="E53" s="11" t="str">
        <x:v>Candidate source; live unverified</x:v>
      </x:c>
      <x:c r="F53" s="10" t="str">
        <x:v>src/app/api/documents/[id]/route.ts</x:v>
      </x:c>
      <x:c r="G53" s="11" t="str">
        <x:v>audit_events, private_documents</x:v>
      </x:c>
      <x:c r="H53" s="11" t="str">
        <x:v>DB / auth / storage / email where referenced</x:v>
      </x:c>
      <x:c r="I53" s="11" t="str">
        <x:v>QA-0320 to QA-0321</x:v>
      </x:c>
      <x:c r="J53" s="11" t="str">
        <x:v>Not reviewed</x:v>
      </x:c>
      <x:c r="K53" s="11" t="str">
        <x:v>Static table/action extraction is partial; complete delegated-service mapping during inventory review.</x:v>
      </x:c>
    </x:row>
    <x:row r="54" ht="38" customHeight="1">
      <x:c r="A54" s="10" t="str">
        <x:v>API</x:v>
      </x:c>
      <x:c r="B54" s="10" t="str">
        <x:v>/api/documents</x:v>
      </x:c>
      <x:c r="C54" s="10" t="str">
        <x:v>GET, POST; explicit equality actions: Inspect body/query and delegated services</x:v>
      </x:c>
      <x:c r="D54" s="10" t="str">
        <x:v>Route-specific ownership/publication policy; inspect handler and delegated services</x:v>
      </x:c>
      <x:c r="E54" s="11" t="str">
        <x:v>Candidate source; live unverified</x:v>
      </x:c>
      <x:c r="F54" s="10" t="str">
        <x:v>src/app/api/documents/route.ts</x:v>
      </x:c>
      <x:c r="G54" s="11" t="str">
        <x:v>application_documents, application_drafts, audit_events, private_documents</x:v>
      </x:c>
      <x:c r="H54" s="11" t="str">
        <x:v>DB / auth / storage / email where referenced</x:v>
      </x:c>
      <x:c r="I54" s="11" t="str">
        <x:v>QA-0322 to QA-0325</x:v>
      </x:c>
      <x:c r="J54" s="11" t="str">
        <x:v>Not reviewed</x:v>
      </x:c>
      <x:c r="K54" s="11" t="str">
        <x:v>Static table/action extraction is partial; complete delegated-service mapping during inventory review.</x:v>
      </x:c>
    </x:row>
    <x:row r="55" ht="38" customHeight="1">
      <x:c r="A55" s="10" t="str">
        <x:v>API</x:v>
      </x:c>
      <x:c r="B55" s="10" t="str">
        <x:v>/api/email/unsubscribe</x:v>
      </x:c>
      <x:c r="C55" s="10" t="str">
        <x:v>GET, POST; explicit equality actions: Inspect body/query and delegated services</x:v>
      </x:c>
      <x:c r="D55" s="10" t="str">
        <x:v>Authentication/token/ownership dependent; inspect handler</x:v>
      </x:c>
      <x:c r="E55" s="11" t="str">
        <x:v>Candidate source; live unverified</x:v>
      </x:c>
      <x:c r="F55" s="10" t="str">
        <x:v>src/app/api/email/unsubscribe/route.ts</x:v>
      </x:c>
      <x:c r="G55" s="11" t="str"/>
      <x:c r="H55" s="11" t="str">
        <x:v>DB / auth / storage / email where referenced</x:v>
      </x:c>
      <x:c r="I55" s="11" t="str">
        <x:v>QA-0326 to QA-0327</x:v>
      </x:c>
      <x:c r="J55" s="11" t="str">
        <x:v>Not reviewed</x:v>
      </x:c>
      <x:c r="K55" s="11" t="str">
        <x:v>Static table/action extraction is partial; complete delegated-service mapping during inventory review.</x:v>
      </x:c>
    </x:row>
    <x:row r="56" ht="38" customHeight="1">
      <x:c r="A56" s="10" t="str">
        <x:v>API</x:v>
      </x:c>
      <x:c r="B56" s="10" t="str">
        <x:v>/api/event-assets/[id]</x:v>
      </x:c>
      <x:c r="C56" s="10" t="str">
        <x:v>GET; explicit equality actions: Inspect body/query and delegated services</x:v>
      </x:c>
      <x:c r="D56" s="10" t="str">
        <x:v>events:manage, payments:manage</x:v>
      </x:c>
      <x:c r="E56" s="11" t="str">
        <x:v>Candidate source; live unverified</x:v>
      </x:c>
      <x:c r="F56" s="10" t="str">
        <x:v>src/app/api/event-assets/[id]/route.ts</x:v>
      </x:c>
      <x:c r="G56" s="11" t="str">
        <x:v>audit_events, event_assets</x:v>
      </x:c>
      <x:c r="H56" s="11" t="str">
        <x:v>DB / auth / storage / email where referenced</x:v>
      </x:c>
      <x:c r="I56" s="11" t="str">
        <x:v>QA-0328 to QA-0329</x:v>
      </x:c>
      <x:c r="J56" s="11" t="str">
        <x:v>Not reviewed</x:v>
      </x:c>
      <x:c r="K56" s="11" t="str">
        <x:v>Static table/action extraction is partial; complete delegated-service mapping during inventory review.</x:v>
      </x:c>
    </x:row>
    <x:row r="57" ht="38" customHeight="1">
      <x:c r="A57" s="10" t="str">
        <x:v>API</x:v>
      </x:c>
      <x:c r="B57" s="10" t="str">
        <x:v>/api/health</x:v>
      </x:c>
      <x:c r="C57" s="10" t="str">
        <x:v>GET; explicit equality actions: Inspect body/query and delegated services</x:v>
      </x:c>
      <x:c r="D57" s="10" t="str">
        <x:v>Route-specific ownership/publication policy; inspect handler and delegated services</x:v>
      </x:c>
      <x:c r="E57" s="11" t="str">
        <x:v>Candidate source; live unverified</x:v>
      </x:c>
      <x:c r="F57" s="10" t="str">
        <x:v>src/app/api/health/route.ts</x:v>
      </x:c>
      <x:c r="G57" s="11" t="str"/>
      <x:c r="H57" s="11" t="str">
        <x:v>DB / auth / storage / email where referenced</x:v>
      </x:c>
      <x:c r="I57" s="11" t="str">
        <x:v>QA-0330</x:v>
      </x:c>
      <x:c r="J57" s="11" t="str">
        <x:v>Not reviewed</x:v>
      </x:c>
      <x:c r="K57" s="11" t="str">
        <x:v>Static table/action extraction is partial; complete delegated-service mapping during inventory review.</x:v>
      </x:c>
    </x:row>
    <x:row r="58" ht="38" customHeight="1">
      <x:c r="A58" s="10" t="str">
        <x:v>API</x:v>
      </x:c>
      <x:c r="B58" s="10" t="str">
        <x:v>/api/inquiries</x:v>
      </x:c>
      <x:c r="C58" s="10" t="str">
        <x:v>POST; explicit equality actions: Inspect body/query and delegated services</x:v>
      </x:c>
      <x:c r="D58" s="10" t="str">
        <x:v>Route-specific ownership/publication policy; inspect handler and delegated services</x:v>
      </x:c>
      <x:c r="E58" s="11" t="str">
        <x:v>Candidate source; live unverified</x:v>
      </x:c>
      <x:c r="F58" s="10" t="str">
        <x:v>src/app/api/inquiries/route.ts</x:v>
      </x:c>
      <x:c r="G58" s="11" t="str">
        <x:v>audit_events, inquiries</x:v>
      </x:c>
      <x:c r="H58" s="11" t="str">
        <x:v>DB / auth / storage / email where referenced</x:v>
      </x:c>
      <x:c r="I58" s="11" t="str">
        <x:v>QA-0331</x:v>
      </x:c>
      <x:c r="J58" s="11" t="str">
        <x:v>Not reviewed</x:v>
      </x:c>
      <x:c r="K58" s="11" t="str">
        <x:v>Static table/action extraction is partial; complete delegated-service mapping during inventory review.</x:v>
      </x:c>
    </x:row>
    <x:row r="59" ht="38" customHeight="1">
      <x:c r="A59" s="10" t="str">
        <x:v>API</x:v>
      </x:c>
      <x:c r="B59" s="10" t="str">
        <x:v>/api/locations</x:v>
      </x:c>
      <x:c r="C59" s="10" t="str">
        <x:v>GET; explicit equality actions: Inspect body/query and delegated services</x:v>
      </x:c>
      <x:c r="D59" s="10" t="str">
        <x:v>Route-specific ownership/publication policy; inspect handler and delegated services</x:v>
      </x:c>
      <x:c r="E59" s="11" t="str">
        <x:v>Candidate source; live unverified</x:v>
      </x:c>
      <x:c r="F59" s="10" t="str">
        <x:v>src/app/api/locations/route.ts</x:v>
      </x:c>
      <x:c r="G59" s="11" t="str"/>
      <x:c r="H59" s="11" t="str">
        <x:v>DB / auth / storage / email where referenced</x:v>
      </x:c>
      <x:c r="I59" s="11" t="str">
        <x:v>QA-0332</x:v>
      </x:c>
      <x:c r="J59" s="11" t="str">
        <x:v>Not reviewed</x:v>
      </x:c>
      <x:c r="K59" s="11" t="str">
        <x:v>Static table/action extraction is partial; complete delegated-service mapping during inventory review.</x:v>
      </x:c>
    </x:row>
    <x:row r="60" ht="38" customHeight="1">
      <x:c r="A60" s="10" t="str">
        <x:v>API</x:v>
      </x:c>
      <x:c r="B60" s="10" t="str">
        <x:v>/api/member/application</x:v>
      </x:c>
      <x:c r="C60" s="10" t="str">
        <x:v>GET, POST; explicit equality actions: Inspect body/query and delegated services</x:v>
      </x:c>
      <x:c r="D60" s="10" t="str">
        <x:v>Route-specific ownership/publication policy; inspect handler and delegated services</x:v>
      </x:c>
      <x:c r="E60" s="11" t="str">
        <x:v>Candidate source; live unverified</x:v>
      </x:c>
      <x:c r="F60" s="10" t="str">
        <x:v>src/app/api/member/application/route.ts</x:v>
      </x:c>
      <x:c r="G60" s="11" t="str">
        <x:v>application_documents, application_drafts, private_documents</x:v>
      </x:c>
      <x:c r="H60" s="11" t="str">
        <x:v>DB / auth / storage / email where referenced</x:v>
      </x:c>
      <x:c r="I60" s="11" t="str">
        <x:v>QA-0333 to QA-0336</x:v>
      </x:c>
      <x:c r="J60" s="11" t="str">
        <x:v>Not reviewed</x:v>
      </x:c>
      <x:c r="K60" s="11" t="str">
        <x:v>Static table/action extraction is partial; complete delegated-service mapping during inventory review.</x:v>
      </x:c>
    </x:row>
    <x:row r="61" ht="38" customHeight="1">
      <x:c r="A61" s="10" t="str">
        <x:v>API</x:v>
      </x:c>
      <x:c r="B61" s="10" t="str">
        <x:v>/api/member/event-journey</x:v>
      </x:c>
      <x:c r="C61" s="10" t="str">
        <x:v>GET; explicit equality actions: Inspect body/query and delegated services</x:v>
      </x:c>
      <x:c r="D61" s="10" t="str">
        <x:v>Route-specific ownership/publication policy; inspect handler and delegated services</x:v>
      </x:c>
      <x:c r="E61" s="11" t="str">
        <x:v>Candidate source; live unverified</x:v>
      </x:c>
      <x:c r="F61" s="10" t="str">
        <x:v>src/app/api/member/event-journey/route.ts</x:v>
      </x:c>
      <x:c r="G61" s="11" t="str"/>
      <x:c r="H61" s="11" t="str">
        <x:v>DB / auth / storage / email where referenced</x:v>
      </x:c>
      <x:c r="I61" s="11" t="str">
        <x:v>QA-0337 to QA-0338</x:v>
      </x:c>
      <x:c r="J61" s="11" t="str">
        <x:v>Not reviewed</x:v>
      </x:c>
      <x:c r="K61" s="11" t="str">
        <x:v>Static table/action extraction is partial; complete delegated-service mapping during inventory review.</x:v>
      </x:c>
    </x:row>
    <x:row r="62" ht="38" customHeight="1">
      <x:c r="A62" s="10" t="str">
        <x:v>API</x:v>
      </x:c>
      <x:c r="B62" s="10" t="str">
        <x:v>/api/member/events/operations</x:v>
      </x:c>
      <x:c r="C62" s="10" t="str">
        <x:v>GET; explicit equality actions: Inspect body/query and delegated services</x:v>
      </x:c>
      <x:c r="D62" s="10" t="str">
        <x:v>Route-specific ownership/publication policy; inspect handler and delegated services</x:v>
      </x:c>
      <x:c r="E62" s="11" t="str">
        <x:v>Candidate source; live unverified</x:v>
      </x:c>
      <x:c r="F62" s="10" t="str">
        <x:v>src/app/api/member/events/operations/route.ts</x:v>
      </x:c>
      <x:c r="G62" s="11" t="str">
        <x:v>event_assets, event_entitlements, event_payment_history, event_registrations</x:v>
      </x:c>
      <x:c r="H62" s="11" t="str">
        <x:v>DB / auth / storage / email where referenced</x:v>
      </x:c>
      <x:c r="I62" s="11" t="str">
        <x:v>QA-0339 to QA-0340</x:v>
      </x:c>
      <x:c r="J62" s="11" t="str">
        <x:v>Not reviewed</x:v>
      </x:c>
      <x:c r="K62" s="11" t="str">
        <x:v>Static table/action extraction is partial; complete delegated-service mapping during inventory review.</x:v>
      </x:c>
    </x:row>
    <x:row r="63" ht="52" customHeight="1">
      <x:c r="A63" s="10" t="str">
        <x:v>API</x:v>
      </x:c>
      <x:c r="B63" s="10" t="str">
        <x:v>/api/member/events</x:v>
      </x:c>
      <x:c r="C63" s="10" t="str">
        <x:v>GET, POST; explicit equality actions: cancel, payment_reference, register</x:v>
      </x:c>
      <x:c r="D63" s="10" t="str">
        <x:v>Route-specific ownership/publication policy; inspect handler and delegated services</x:v>
      </x:c>
      <x:c r="E63" s="11" t="str">
        <x:v>Candidate source; live unverified</x:v>
      </x:c>
      <x:c r="F63" s="10" t="str">
        <x:v>src/app/api/member/events/route.ts</x:v>
      </x:c>
      <x:c r="G63" s="11" t="str">
        <x:v>event_attendance, event_badges, event_booking_payment_configurations, event_registrations, events, memberships, people</x:v>
      </x:c>
      <x:c r="H63" s="11" t="str">
        <x:v>DB / auth / storage / email where referenced</x:v>
      </x:c>
      <x:c r="I63" s="11" t="str">
        <x:v>QA-0341 to QA-0344</x:v>
      </x:c>
      <x:c r="J63" s="11" t="str">
        <x:v>Not reviewed</x:v>
      </x:c>
      <x:c r="K63" s="11" t="str">
        <x:v>Static table/action extraction is partial; complete delegated-service mapping during inventory review.</x:v>
      </x:c>
    </x:row>
    <x:row r="64" ht="38" customHeight="1">
      <x:c r="A64" s="10" t="str">
        <x:v>API</x:v>
      </x:c>
      <x:c r="B64" s="10" t="str">
        <x:v>/api/member/inquiries</x:v>
      </x:c>
      <x:c r="C64" s="10" t="str">
        <x:v>GET, POST; explicit equality actions: Inspect body/query and delegated services</x:v>
      </x:c>
      <x:c r="D64" s="10" t="str">
        <x:v>Route-specific ownership/publication policy; inspect handler and delegated services</x:v>
      </x:c>
      <x:c r="E64" s="11" t="str">
        <x:v>Candidate source; live unverified</x:v>
      </x:c>
      <x:c r="F64" s="10" t="str">
        <x:v>src/app/api/member/inquiries/route.ts</x:v>
      </x:c>
      <x:c r="G64" s="11" t="str">
        <x:v>inquiries</x:v>
      </x:c>
      <x:c r="H64" s="11" t="str">
        <x:v>DB / auth / storage / email where referenced</x:v>
      </x:c>
      <x:c r="I64" s="11" t="str">
        <x:v>QA-0345 to QA-0348</x:v>
      </x:c>
      <x:c r="J64" s="11" t="str">
        <x:v>Not reviewed</x:v>
      </x:c>
      <x:c r="K64" s="11" t="str">
        <x:v>Static table/action extraction is partial; complete delegated-service mapping during inventory review.</x:v>
      </x:c>
    </x:row>
    <x:row r="65" ht="38" customHeight="1">
      <x:c r="A65" s="10" t="str">
        <x:v>API</x:v>
      </x:c>
      <x:c r="B65" s="10" t="str">
        <x:v>/api/member/locations</x:v>
      </x:c>
      <x:c r="C65" s="10" t="str">
        <x:v>GET; explicit equality actions: Inspect body/query and delegated services</x:v>
      </x:c>
      <x:c r="D65" s="10" t="str">
        <x:v>Route-specific ownership/publication policy; inspect handler and delegated services</x:v>
      </x:c>
      <x:c r="E65" s="11" t="str">
        <x:v>Candidate source; live unverified</x:v>
      </x:c>
      <x:c r="F65" s="10" t="str">
        <x:v>src/app/api/member/locations/route.ts</x:v>
      </x:c>
      <x:c r="G65" s="11" t="str">
        <x:v>postal_city_aliases, postal_locations</x:v>
      </x:c>
      <x:c r="H65" s="11" t="str">
        <x:v>DB / auth / storage / email where referenced</x:v>
      </x:c>
      <x:c r="I65" s="11" t="str">
        <x:v>QA-0349 to QA-0350</x:v>
      </x:c>
      <x:c r="J65" s="11" t="str">
        <x:v>Not reviewed</x:v>
      </x:c>
      <x:c r="K65" s="11" t="str">
        <x:v>Static table/action extraction is partial; complete delegated-service mapping during inventory review.</x:v>
      </x:c>
    </x:row>
    <x:row r="66" ht="38" customHeight="1">
      <x:c r="A66" s="10" t="str">
        <x:v>API</x:v>
      </x:c>
      <x:c r="B66" s="10" t="str">
        <x:v>/api/member/payment-details</x:v>
      </x:c>
      <x:c r="C66" s="10" t="str">
        <x:v>GET; explicit equality actions: Inspect body/query and delegated services</x:v>
      </x:c>
      <x:c r="D66" s="10" t="str">
        <x:v>Route-specific ownership/publication policy; inspect handler and delegated services</x:v>
      </x:c>
      <x:c r="E66" s="11" t="str">
        <x:v>Candidate source; live unverified</x:v>
      </x:c>
      <x:c r="F66" s="10" t="str">
        <x:v>src/app/api/member/payment-details/route.ts</x:v>
      </x:c>
      <x:c r="G66" s="11" t="str">
        <x:v>payment_details</x:v>
      </x:c>
      <x:c r="H66" s="11" t="str">
        <x:v>DB / auth / storage / email where referenced</x:v>
      </x:c>
      <x:c r="I66" s="11" t="str">
        <x:v>QA-0351 to QA-0352</x:v>
      </x:c>
      <x:c r="J66" s="11" t="str">
        <x:v>Not reviewed</x:v>
      </x:c>
      <x:c r="K66" s="11" t="str">
        <x:v>Static table/action extraction is partial; complete delegated-service mapping during inventory review.</x:v>
      </x:c>
    </x:row>
    <x:row r="67" ht="38" customHeight="1">
      <x:c r="A67" s="10" t="str">
        <x:v>API</x:v>
      </x:c>
      <x:c r="B67" s="10" t="str">
        <x:v>/api/member/profile</x:v>
      </x:c>
      <x:c r="C67" s="10" t="str">
        <x:v>GET, POST; explicit equality actions: preferences</x:v>
      </x:c>
      <x:c r="D67" s="10" t="str">
        <x:v>Route-specific ownership/publication policy; inspect handler and delegated services</x:v>
      </x:c>
      <x:c r="E67" s="11" t="str">
        <x:v>Candidate source; live unverified</x:v>
      </x:c>
      <x:c r="F67" s="10" t="str">
        <x:v>src/app/api/member/profile/route.ts</x:v>
      </x:c>
      <x:c r="G67" s="11" t="str">
        <x:v>member_profiles, newsletter_consents</x:v>
      </x:c>
      <x:c r="H67" s="11" t="str">
        <x:v>DB / auth / storage / email where referenced</x:v>
      </x:c>
      <x:c r="I67" s="11" t="str">
        <x:v>QA-0353 to QA-0356</x:v>
      </x:c>
      <x:c r="J67" s="11" t="str">
        <x:v>Not reviewed</x:v>
      </x:c>
      <x:c r="K67" s="11" t="str">
        <x:v>Static table/action extraction is partial; complete delegated-service mapping during inventory review.</x:v>
      </x:c>
    </x:row>
    <x:row r="68" ht="38" customHeight="1">
      <x:c r="A68" s="10" t="str">
        <x:v>API</x:v>
      </x:c>
      <x:c r="B68" s="10" t="str">
        <x:v>/api/member/verification</x:v>
      </x:c>
      <x:c r="C68" s="10" t="str">
        <x:v>GET, POST; explicit equality actions: Inspect body/query and delegated services</x:v>
      </x:c>
      <x:c r="D68" s="10" t="str">
        <x:v>Route-specific ownership/publication policy; inspect handler and delegated services</x:v>
      </x:c>
      <x:c r="E68" s="11" t="str">
        <x:v>Candidate source; live unverified</x:v>
      </x:c>
      <x:c r="F68" s="10" t="str">
        <x:v>src/app/api/member/verification/route.ts</x:v>
      </x:c>
      <x:c r="G68" s="11" t="str"/>
      <x:c r="H68" s="11" t="str">
        <x:v>DB / auth / storage / email where referenced</x:v>
      </x:c>
      <x:c r="I68" s="11" t="str">
        <x:v>QA-0357 to QA-0360</x:v>
      </x:c>
      <x:c r="J68" s="11" t="str">
        <x:v>Not reviewed</x:v>
      </x:c>
      <x:c r="K68" s="11" t="str">
        <x:v>Static table/action extraction is partial; complete delegated-service mapping during inventory review.</x:v>
      </x:c>
    </x:row>
    <x:row r="69" ht="38" customHeight="1">
      <x:c r="A69" s="10" t="str">
        <x:v>API</x:v>
      </x:c>
      <x:c r="B69" s="10" t="str">
        <x:v>/api/onboarding/invitation</x:v>
      </x:c>
      <x:c r="C69" s="10" t="str">
        <x:v>POST; explicit equality actions: Inspect body/query and delegated services</x:v>
      </x:c>
      <x:c r="D69" s="10" t="str">
        <x:v>Authentication/token/ownership dependent; inspect handler</x:v>
      </x:c>
      <x:c r="E69" s="11" t="str">
        <x:v>Candidate source; live unverified</x:v>
      </x:c>
      <x:c r="F69" s="10" t="str">
        <x:v>src/app/api/onboarding/invitation/route.ts</x:v>
      </x:c>
      <x:c r="G69" s="11" t="str">
        <x:v>onboarding_invitations</x:v>
      </x:c>
      <x:c r="H69" s="11" t="str">
        <x:v>DB / auth / storage / email where referenced</x:v>
      </x:c>
      <x:c r="I69" s="11" t="str">
        <x:v>QA-0361</x:v>
      </x:c>
      <x:c r="J69" s="11" t="str">
        <x:v>Not reviewed</x:v>
      </x:c>
      <x:c r="K69" s="11" t="str">
        <x:v>Static table/action extraction is partial; complete delegated-service mapping during inventory review.</x:v>
      </x:c>
    </x:row>
    <x:row r="70" ht="38" customHeight="1">
      <x:c r="A70" s="10" t="str">
        <x:v>API</x:v>
      </x:c>
      <x:c r="B70" s="10" t="str">
        <x:v>/api/onboarding/sign-in</x:v>
      </x:c>
      <x:c r="C70" s="10" t="str">
        <x:v>POST; explicit equality actions: Inspect body/query and delegated services</x:v>
      </x:c>
      <x:c r="D70" s="10" t="str">
        <x:v>Authentication/token/ownership dependent; inspect handler</x:v>
      </x:c>
      <x:c r="E70" s="11" t="str">
        <x:v>Candidate source; live unverified</x:v>
      </x:c>
      <x:c r="F70" s="10" t="str">
        <x:v>src/app/api/onboarding/sign-in/route.ts</x:v>
      </x:c>
      <x:c r="G70" s="11" t="str">
        <x:v>staff_roles</x:v>
      </x:c>
      <x:c r="H70" s="11" t="str">
        <x:v>DB / auth / storage / email where referenced</x:v>
      </x:c>
      <x:c r="I70" s="11" t="str">
        <x:v>QA-0362</x:v>
      </x:c>
      <x:c r="J70" s="11" t="str">
        <x:v>Not reviewed</x:v>
      </x:c>
      <x:c r="K70" s="11" t="str">
        <x:v>Static table/action extraction is partial; complete delegated-service mapping during inventory review.</x:v>
      </x:c>
    </x:row>
    <x:row r="71" ht="38" customHeight="1">
      <x:c r="A71" s="10" t="str">
        <x:v>API</x:v>
      </x:c>
      <x:c r="B71" s="10" t="str">
        <x:v>/api/payment-qr/[id]</x:v>
      </x:c>
      <x:c r="C71" s="10" t="str">
        <x:v>GET; explicit equality actions: Inspect body/query and delegated services</x:v>
      </x:c>
      <x:c r="D71" s="10" t="str">
        <x:v>payments:manage</x:v>
      </x:c>
      <x:c r="E71" s="11" t="str">
        <x:v>Candidate source; live unverified</x:v>
      </x:c>
      <x:c r="F71" s="10" t="str">
        <x:v>src/app/api/payment-qr/[id]/route.ts</x:v>
      </x:c>
      <x:c r="G71" s="11" t="str">
        <x:v>payment_details, payment_qr_images</x:v>
      </x:c>
      <x:c r="H71" s="11" t="str">
        <x:v>DB / auth / storage / email where referenced</x:v>
      </x:c>
      <x:c r="I71" s="11" t="str">
        <x:v>QA-0363 to QA-0364</x:v>
      </x:c>
      <x:c r="J71" s="11" t="str">
        <x:v>Not reviewed</x:v>
      </x:c>
      <x:c r="K71" s="11" t="str">
        <x:v>Static table/action extraction is partial; complete delegated-service mapping during inventory review.</x:v>
      </x:c>
    </x:row>
    <x:row r="72" ht="38" customHeight="1">
      <x:c r="A72" s="10" t="str">
        <x:v>API</x:v>
      </x:c>
      <x:c r="B72" s="10" t="str">
        <x:v>/api/profile-portraits/[id]</x:v>
      </x:c>
      <x:c r="C72" s="10" t="str">
        <x:v>GET; explicit equality actions: Inspect body/query and delegated services</x:v>
      </x:c>
      <x:c r="D72" s="10" t="str">
        <x:v>Route-specific ownership/publication policy; inspect handler and delegated services</x:v>
      </x:c>
      <x:c r="E72" s="11" t="str">
        <x:v>Candidate source; live unverified</x:v>
      </x:c>
      <x:c r="F72" s="10" t="str">
        <x:v>src/app/api/profile-portraits/[id]/route.ts</x:v>
      </x:c>
      <x:c r="G72" s="11" t="str">
        <x:v>people, profile_portraits</x:v>
      </x:c>
      <x:c r="H72" s="11" t="str">
        <x:v>DB / auth / storage / email where referenced</x:v>
      </x:c>
      <x:c r="I72" s="11" t="str">
        <x:v>QA-0365 to QA-0366</x:v>
      </x:c>
      <x:c r="J72" s="11" t="str">
        <x:v>Not reviewed</x:v>
      </x:c>
      <x:c r="K72" s="11" t="str">
        <x:v>Static table/action extraction is partial; complete delegated-service mapping during inventory review.</x:v>
      </x:c>
    </x:row>
    <x:row r="73" ht="38" customHeight="1">
      <x:c r="A73" s="10" t="str">
        <x:v>API</x:v>
      </x:c>
      <x:c r="B73" s="10" t="str">
        <x:v>/api/profile-portraits</x:v>
      </x:c>
      <x:c r="C73" s="10" t="str">
        <x:v>GET, POST; explicit equality actions: Inspect body/query and delegated services</x:v>
      </x:c>
      <x:c r="D73" s="10" t="str">
        <x:v>Route-specific ownership/publication policy; inspect handler and delegated services</x:v>
      </x:c>
      <x:c r="E73" s="11" t="str">
        <x:v>Candidate source; live unverified</x:v>
      </x:c>
      <x:c r="F73" s="10" t="str">
        <x:v>src/app/api/profile-portraits/route.ts</x:v>
      </x:c>
      <x:c r="G73" s="11" t="str">
        <x:v>audit_events, people, profile_portraits</x:v>
      </x:c>
      <x:c r="H73" s="11" t="str">
        <x:v>DB / auth / storage / email where referenced</x:v>
      </x:c>
      <x:c r="I73" s="11" t="str">
        <x:v>QA-0367 to QA-0370</x:v>
      </x:c>
      <x:c r="J73" s="11" t="str">
        <x:v>Not reviewed</x:v>
      </x:c>
      <x:c r="K73" s="11" t="str">
        <x:v>Static table/action extraction is partial; complete delegated-service mapping during inventory review.</x:v>
      </x:c>
    </x:row>
    <x:row r="74" ht="38" customHeight="1">
      <x:c r="A74" s="10" t="str">
        <x:v>API</x:v>
      </x:c>
      <x:c r="B74" s="10" t="str">
        <x:v>/api/staff/access</x:v>
      </x:c>
      <x:c r="C74" s="10" t="str">
        <x:v>GET, POST; explicit equality actions: Inspect body/query and delegated services</x:v>
      </x:c>
      <x:c r="D74" s="10" t="str">
        <x:v>staff:manage</x:v>
      </x:c>
      <x:c r="E74" s="11" t="str">
        <x:v>Candidate source; live unverified</x:v>
      </x:c>
      <x:c r="F74" s="10" t="str">
        <x:v>src/app/api/staff/access/route.ts</x:v>
      </x:c>
      <x:c r="G74" s="11" t="str">
        <x:v>operator_approved_identities, staff_roles</x:v>
      </x:c>
      <x:c r="H74" s="11" t="str">
        <x:v>DB / auth / storage / email where referenced</x:v>
      </x:c>
      <x:c r="I74" s="11" t="str">
        <x:v>QA-0371 to QA-0374</x:v>
      </x:c>
      <x:c r="J74" s="11" t="str">
        <x:v>Not reviewed</x:v>
      </x:c>
      <x:c r="K74" s="11" t="str">
        <x:v>Static table/action extraction is partial; complete delegated-service mapping during inventory review.</x:v>
      </x:c>
    </x:row>
    <x:row r="75" ht="38" customHeight="1">
      <x:c r="A75" s="10" t="str">
        <x:v>API</x:v>
      </x:c>
      <x:c r="B75" s="10" t="str">
        <x:v>/api/staff/attendance</x:v>
      </x:c>
      <x:c r="C75" s="10" t="str">
        <x:v>GET, POST; explicit equality actions: Inspect body/query and delegated services</x:v>
      </x:c>
      <x:c r="D75" s="10" t="str">
        <x:v>events:manage</x:v>
      </x:c>
      <x:c r="E75" s="11" t="str">
        <x:v>Candidate source; live unverified</x:v>
      </x:c>
      <x:c r="F75" s="10" t="str">
        <x:v>src/app/api/staff/attendance/route.ts</x:v>
      </x:c>
      <x:c r="G75" s="11" t="str">
        <x:v>event_attendance, event_badges, event_registrations, events, memberships, people</x:v>
      </x:c>
      <x:c r="H75" s="11" t="str">
        <x:v>DB / auth / storage / email where referenced</x:v>
      </x:c>
      <x:c r="I75" s="11" t="str">
        <x:v>QA-0375 to QA-0378</x:v>
      </x:c>
      <x:c r="J75" s="11" t="str">
        <x:v>Not reviewed</x:v>
      </x:c>
      <x:c r="K75" s="11" t="str">
        <x:v>Static table/action extraction is partial; complete delegated-service mapping during inventory review.</x:v>
      </x:c>
    </x:row>
    <x:row r="76" ht="38" customHeight="1">
      <x:c r="A76" s="10" t="str">
        <x:v>API</x:v>
      </x:c>
      <x:c r="B76" s="10" t="str">
        <x:v>/api/staff/audit</x:v>
      </x:c>
      <x:c r="C76" s="10" t="str">
        <x:v>GET; explicit equality actions: Inspect body/query and delegated services</x:v>
      </x:c>
      <x:c r="D76" s="10" t="str">
        <x:v>staff:manage</x:v>
      </x:c>
      <x:c r="E76" s="11" t="str">
        <x:v>Candidate source; live unverified</x:v>
      </x:c>
      <x:c r="F76" s="10" t="str">
        <x:v>src/app/api/staff/audit/route.ts</x:v>
      </x:c>
      <x:c r="G76" s="11" t="str">
        <x:v>audit_events</x:v>
      </x:c>
      <x:c r="H76" s="11" t="str">
        <x:v>DB / auth / storage / email where referenced</x:v>
      </x:c>
      <x:c r="I76" s="11" t="str">
        <x:v>QA-0379 to QA-0380</x:v>
      </x:c>
      <x:c r="J76" s="11" t="str">
        <x:v>Not reviewed</x:v>
      </x:c>
      <x:c r="K76" s="11" t="str">
        <x:v>Static table/action extraction is partial; complete delegated-service mapping during inventory review.</x:v>
      </x:c>
    </x:row>
    <x:row r="77" ht="52" customHeight="1">
      <x:c r="A77" s="10" t="str">
        <x:v>API</x:v>
      </x:c>
      <x:c r="B77" s="10" t="str">
        <x:v>/api/staff/campaigns</x:v>
      </x:c>
      <x:c r="C77" s="10" t="str">
        <x:v>GET, POST; explicit equality actions: archive, cancel, dispatch, preview, restore, review, save</x:v>
      </x:c>
      <x:c r="D77" s="10" t="str">
        <x:v>communications:manage</x:v>
      </x:c>
      <x:c r="E77" s="11" t="str">
        <x:v>Candidate source; live unverified</x:v>
      </x:c>
      <x:c r="F77" s="10" t="str">
        <x:v>src/app/api/staff/campaigns/route.ts</x:v>
      </x:c>
      <x:c r="G77" s="11" t="str">
        <x:v>campaign_drafts, campaign_revisions, email_dispatches, email_jobs, email_suppressions, member_profiles, newsletter_consents</x:v>
      </x:c>
      <x:c r="H77" s="11" t="str">
        <x:v>DB / auth / storage / email where referenced</x:v>
      </x:c>
      <x:c r="I77" s="11" t="str">
        <x:v>QA-0381 to QA-0384</x:v>
      </x:c>
      <x:c r="J77" s="11" t="str">
        <x:v>Not reviewed</x:v>
      </x:c>
      <x:c r="K77" s="11" t="str">
        <x:v>Static table/action extraction is partial; complete delegated-service mapping during inventory review.</x:v>
      </x:c>
    </x:row>
    <x:row r="78" ht="38" customHeight="1">
      <x:c r="A78" s="10" t="str">
        <x:v>API</x:v>
      </x:c>
      <x:c r="B78" s="10" t="str">
        <x:v>/api/staff/communications</x:v>
      </x:c>
      <x:c r="C78" s="10" t="str">
        <x:v>GET, POST; explicit equality actions: save</x:v>
      </x:c>
      <x:c r="D78" s="10" t="str">
        <x:v>communications:manage</x:v>
      </x:c>
      <x:c r="E78" s="11" t="str">
        <x:v>Candidate source; live unverified</x:v>
      </x:c>
      <x:c r="F78" s="10" t="str">
        <x:v>src/app/api/staff/communications/route.ts</x:v>
      </x:c>
      <x:c r="G78" s="11" t="str">
        <x:v>communication_templates, newsletter_consents</x:v>
      </x:c>
      <x:c r="H78" s="11" t="str">
        <x:v>DB / auth / storage / email where referenced</x:v>
      </x:c>
      <x:c r="I78" s="11" t="str">
        <x:v>QA-0385 to QA-0388</x:v>
      </x:c>
      <x:c r="J78" s="11" t="str">
        <x:v>Not reviewed</x:v>
      </x:c>
      <x:c r="K78" s="11" t="str">
        <x:v>Static table/action extraction is partial; complete delegated-service mapping during inventory review.</x:v>
      </x:c>
    </x:row>
    <x:row r="79" ht="38" customHeight="1">
      <x:c r="A79" s="10" t="str">
        <x:v>API</x:v>
      </x:c>
      <x:c r="B79" s="10" t="str">
        <x:v>/api/staff/content/preview</x:v>
      </x:c>
      <x:c r="C79" s="10" t="str">
        <x:v>GET; explicit equality actions: Inspect body/query and delegated services</x:v>
      </x:c>
      <x:c r="D79" s="10" t="str">
        <x:v>content:publish</x:v>
      </x:c>
      <x:c r="E79" s="11" t="str">
        <x:v>Candidate source; live unverified</x:v>
      </x:c>
      <x:c r="F79" s="10" t="str">
        <x:v>src/app/api/staff/content/preview/route.ts</x:v>
      </x:c>
      <x:c r="G79" s="11" t="str"/>
      <x:c r="H79" s="11" t="str">
        <x:v>DB / auth / storage / email where referenced</x:v>
      </x:c>
      <x:c r="I79" s="11" t="str">
        <x:v>QA-0389 to QA-0390</x:v>
      </x:c>
      <x:c r="J79" s="11" t="str">
        <x:v>Not reviewed</x:v>
      </x:c>
      <x:c r="K79" s="11" t="str">
        <x:v>Static table/action extraction is partial; complete delegated-service mapping during inventory review.</x:v>
      </x:c>
    </x:row>
    <x:row r="80" ht="38" customHeight="1">
      <x:c r="A80" s="10" t="str">
        <x:v>API</x:v>
      </x:c>
      <x:c r="B80" s="10" t="str">
        <x:v>/api/staff/content</x:v>
      </x:c>
      <x:c r="C80" s="10" t="str">
        <x:v>GET, POST; explicit equality actions: archive, publish, restore, save, unpublish</x:v>
      </x:c>
      <x:c r="D80" s="10" t="str">
        <x:v>content:publish</x:v>
      </x:c>
      <x:c r="E80" s="11" t="str">
        <x:v>Candidate source; live unverified</x:v>
      </x:c>
      <x:c r="F80" s="10" t="str">
        <x:v>src/app/api/staff/content/route.ts</x:v>
      </x:c>
      <x:c r="G80" s="11" t="str">
        <x:v>content_entries, content_revisions</x:v>
      </x:c>
      <x:c r="H80" s="11" t="str">
        <x:v>DB / auth / storage / email where referenced</x:v>
      </x:c>
      <x:c r="I80" s="11" t="str">
        <x:v>QA-0391 to QA-0394</x:v>
      </x:c>
      <x:c r="J80" s="11" t="str">
        <x:v>Not reviewed</x:v>
      </x:c>
      <x:c r="K80" s="11" t="str">
        <x:v>Static table/action extraction is partial; complete delegated-service mapping during inventory review.</x:v>
      </x:c>
    </x:row>
    <x:row r="81" ht="38" customHeight="1">
      <x:c r="A81" s="10" t="str">
        <x:v>API</x:v>
      </x:c>
      <x:c r="B81" s="10" t="str">
        <x:v>/api/staff/crm</x:v>
      </x:c>
      <x:c r="C81" s="10" t="str">
        <x:v>GET, POST; explicit equality actions: Inspect body/query and delegated services</x:v>
      </x:c>
      <x:c r="D81" s="10" t="str">
        <x:v>communications:manage</x:v>
      </x:c>
      <x:c r="E81" s="11" t="str">
        <x:v>Candidate source; live unverified</x:v>
      </x:c>
      <x:c r="F81" s="10" t="str">
        <x:v>src/app/api/staff/crm/route.ts</x:v>
      </x:c>
      <x:c r="G81" s="11" t="str">
        <x:v>inquiries, inquiry_notes, inquiry_updates, staff_roles</x:v>
      </x:c>
      <x:c r="H81" s="11" t="str">
        <x:v>DB / auth / storage / email where referenced</x:v>
      </x:c>
      <x:c r="I81" s="11" t="str">
        <x:v>QA-0395 to QA-0398</x:v>
      </x:c>
      <x:c r="J81" s="11" t="str">
        <x:v>Not reviewed</x:v>
      </x:c>
      <x:c r="K81" s="11" t="str">
        <x:v>Static table/action extraction is partial; complete delegated-service mapping during inventory review.</x:v>
      </x:c>
    </x:row>
    <x:row r="82" ht="38" customHeight="1">
      <x:c r="A82" s="10" t="str">
        <x:v>API</x:v>
      </x:c>
      <x:c r="B82" s="10" t="str">
        <x:v>/api/staff/deliveries</x:v>
      </x:c>
      <x:c r="C82" s="10" t="str">
        <x:v>GET; explicit equality actions: Inspect body/query and delegated services</x:v>
      </x:c>
      <x:c r="D82" s="10" t="str">
        <x:v>communications:manage</x:v>
      </x:c>
      <x:c r="E82" s="11" t="str">
        <x:v>Candidate source; live unverified</x:v>
      </x:c>
      <x:c r="F82" s="10" t="str">
        <x:v>src/app/api/staff/deliveries/route.ts</x:v>
      </x:c>
      <x:c r="G82" s="11" t="str">
        <x:v>email_events, email_jobs, email_receipts</x:v>
      </x:c>
      <x:c r="H82" s="11" t="str">
        <x:v>DB / auth / storage / email where referenced</x:v>
      </x:c>
      <x:c r="I82" s="11" t="str">
        <x:v>QA-0399 to QA-0400</x:v>
      </x:c>
      <x:c r="J82" s="11" t="str">
        <x:v>Not reviewed</x:v>
      </x:c>
      <x:c r="K82" s="11" t="str">
        <x:v>Static table/action extraction is partial; complete delegated-service mapping during inventory review.</x:v>
      </x:c>
    </x:row>
    <x:row r="83" ht="38" customHeight="1">
      <x:c r="A83" s="10" t="str">
        <x:v>API</x:v>
      </x:c>
      <x:c r="B83" s="10" t="str">
        <x:v>/api/staff/event-assets</x:v>
      </x:c>
      <x:c r="C83" s="10" t="str">
        <x:v>GET, POST; explicit equality actions: Inspect body/query and delegated services</x:v>
      </x:c>
      <x:c r="D83" s="10" t="str">
        <x:v>events:manage, payments:manage</x:v>
      </x:c>
      <x:c r="E83" s="11" t="str">
        <x:v>Candidate source; live unverified</x:v>
      </x:c>
      <x:c r="F83" s="10" t="str">
        <x:v>src/app/api/staff/event-assets/route.ts</x:v>
      </x:c>
      <x:c r="G83" s="11" t="str">
        <x:v>audit_events, event_assets, events, memberships, people</x:v>
      </x:c>
      <x:c r="H83" s="11" t="str">
        <x:v>DB / auth / storage / email where referenced</x:v>
      </x:c>
      <x:c r="I83" s="11" t="str">
        <x:v>QA-0401 to QA-0404</x:v>
      </x:c>
      <x:c r="J83" s="11" t="str">
        <x:v>Not reviewed</x:v>
      </x:c>
      <x:c r="K83" s="11" t="str">
        <x:v>Static table/action extraction is partial; complete delegated-service mapping during inventory review.</x:v>
      </x:c>
    </x:row>
    <x:row r="84" ht="38" customHeight="1">
      <x:c r="A84" s="10" t="str">
        <x:v>API</x:v>
      </x:c>
      <x:c r="B84" s="10" t="str">
        <x:v>/api/staff/event-badges</x:v>
      </x:c>
      <x:c r="C84" s="10" t="str">
        <x:v>GET, POST; explicit equality actions: Inspect body/query and delegated services</x:v>
      </x:c>
      <x:c r="D84" s="10" t="str">
        <x:v>events:manage</x:v>
      </x:c>
      <x:c r="E84" s="11" t="str">
        <x:v>Candidate source; live unverified</x:v>
      </x:c>
      <x:c r="F84" s="10" t="str">
        <x:v>src/app/api/staff/event-badges/route.ts</x:v>
      </x:c>
      <x:c r="G84" s="11" t="str">
        <x:v>event_badge_rules</x:v>
      </x:c>
      <x:c r="H84" s="11" t="str">
        <x:v>DB / auth / storage / email where referenced</x:v>
      </x:c>
      <x:c r="I84" s="11" t="str">
        <x:v>QA-0405 to QA-0408</x:v>
      </x:c>
      <x:c r="J84" s="11" t="str">
        <x:v>Not reviewed</x:v>
      </x:c>
      <x:c r="K84" s="11" t="str">
        <x:v>Static table/action extraction is partial; complete delegated-service mapping during inventory review.</x:v>
      </x:c>
    </x:row>
    <x:row r="85" ht="38" customHeight="1">
      <x:c r="A85" s="10" t="str">
        <x:v>API</x:v>
      </x:c>
      <x:c r="B85" s="10" t="str">
        <x:v>/api/staff/event-promotions</x:v>
      </x:c>
      <x:c r="C85" s="10" t="str">
        <x:v>GET, POST; explicit equality actions: approve, review, save</x:v>
      </x:c>
      <x:c r="D85" s="10" t="str">
        <x:v>communications:manage, events:manage</x:v>
      </x:c>
      <x:c r="E85" s="11" t="str">
        <x:v>Candidate source; live unverified</x:v>
      </x:c>
      <x:c r="F85" s="10" t="str">
        <x:v>src/app/api/staff/event-promotions/route.ts</x:v>
      </x:c>
      <x:c r="G85" s="11" t="str">
        <x:v>email_jobs, event_promotion_settings, event_promotions, events</x:v>
      </x:c>
      <x:c r="H85" s="11" t="str">
        <x:v>DB / auth / storage / email where referenced</x:v>
      </x:c>
      <x:c r="I85" s="11" t="str">
        <x:v>QA-0409 to QA-0412</x:v>
      </x:c>
      <x:c r="J85" s="11" t="str">
        <x:v>Not reviewed</x:v>
      </x:c>
      <x:c r="K85" s="11" t="str">
        <x:v>Static table/action extraction is partial; complete delegated-service mapping during inventory review.</x:v>
      </x:c>
    </x:row>
    <x:row r="86" ht="38" customHeight="1">
      <x:c r="A86" s="10" t="str">
        <x:v>API</x:v>
      </x:c>
      <x:c r="B86" s="10" t="str">
        <x:v>/api/staff/events/delivery</x:v>
      </x:c>
      <x:c r="C86" s="10" t="str">
        <x:v>GET; explicit equality actions: Inspect body/query and delegated services</x:v>
      </x:c>
      <x:c r="D86" s="10" t="str">
        <x:v>events:manage</x:v>
      </x:c>
      <x:c r="E86" s="11" t="str">
        <x:v>Candidate source; live unverified</x:v>
      </x:c>
      <x:c r="F86" s="10" t="str">
        <x:v>src/app/api/staff/events/delivery/route.ts</x:v>
      </x:c>
      <x:c r="G86" s="11" t="str">
        <x:v>event_reminders, onboarding_mail</x:v>
      </x:c>
      <x:c r="H86" s="11" t="str">
        <x:v>DB / auth / storage / email where referenced</x:v>
      </x:c>
      <x:c r="I86" s="11" t="str">
        <x:v>QA-0413 to QA-0414</x:v>
      </x:c>
      <x:c r="J86" s="11" t="str">
        <x:v>Not reviewed</x:v>
      </x:c>
      <x:c r="K86" s="11" t="str">
        <x:v>Static table/action extraction is partial; complete delegated-service mapping during inventory review.</x:v>
      </x:c>
    </x:row>
    <x:row r="87" ht="80" customHeight="1">
      <x:c r="A87" s="10" t="str">
        <x:v>API</x:v>
      </x:c>
      <x:c r="B87" s="10" t="str">
        <x:v>/api/staff/events/operations</x:v>
      </x:c>
      <x:c r="C87" s="10" t="str">
        <x:v>GET, POST; explicit equality actions: announcement.save, announcement.send, archive, asset.link, asset.revoke, attendance.finalize, booking.close, booking.open, complete, expense.save, expense.void, payment.configure, perk.grant, perk.revoke, reopen</x:v>
      </x:c>
      <x:c r="D87" s="10" t="str">
        <x:v>events:manage, payments:manage</x:v>
      </x:c>
      <x:c r="E87" s="11" t="str">
        <x:v>Candidate source; live unverified</x:v>
      </x:c>
      <x:c r="F87" s="10" t="str">
        <x:v>src/app/api/staff/events/operations/route.ts</x:v>
      </x:c>
      <x:c r="G87" s="11" t="str">
        <x:v>event_announcements, event_assets, event_attendance, event_badges, event_entitlements, event_expenses, event_operation_history, event_payment_configurations, event_registrations, events, onboarding_mail, payment_details</x:v>
      </x:c>
      <x:c r="H87" s="11" t="str">
        <x:v>DB / auth / storage / email where referenced</x:v>
      </x:c>
      <x:c r="I87" s="11" t="str">
        <x:v>QA-0415 to QA-0418</x:v>
      </x:c>
      <x:c r="J87" s="11" t="str">
        <x:v>Not reviewed</x:v>
      </x:c>
      <x:c r="K87" s="11" t="str">
        <x:v>Static table/action extraction is partial; complete delegated-service mapping during inventory review.</x:v>
      </x:c>
    </x:row>
    <x:row r="88" ht="38" customHeight="1">
      <x:c r="A88" s="10" t="str">
        <x:v>API</x:v>
      </x:c>
      <x:c r="B88" s="10" t="str">
        <x:v>/api/staff/events</x:v>
      </x:c>
      <x:c r="C88" s="10" t="str">
        <x:v>GET, POST; explicit equality actions: cancel, publish, save</x:v>
      </x:c>
      <x:c r="D88" s="10" t="str">
        <x:v>events:manage</x:v>
      </x:c>
      <x:c r="E88" s="11" t="str">
        <x:v>Candidate source; live unverified</x:v>
      </x:c>
      <x:c r="F88" s="10" t="str">
        <x:v>src/app/api/staff/events/route.ts</x:v>
      </x:c>
      <x:c r="G88" s="11" t="str">
        <x:v>event_registrations, events</x:v>
      </x:c>
      <x:c r="H88" s="11" t="str">
        <x:v>DB / auth / storage / email where referenced</x:v>
      </x:c>
      <x:c r="I88" s="11" t="str">
        <x:v>QA-0419 to QA-0422</x:v>
      </x:c>
      <x:c r="J88" s="11" t="str">
        <x:v>Not reviewed</x:v>
      </x:c>
      <x:c r="K88" s="11" t="str">
        <x:v>Static table/action extraction is partial; complete delegated-service mapping during inventory review.</x:v>
      </x:c>
    </x:row>
    <x:row r="89" ht="38" customHeight="1">
      <x:c r="A89" s="10" t="str">
        <x:v>API</x:v>
      </x:c>
      <x:c r="B89" s="10" t="str">
        <x:v>/api/staff/flyer-variants</x:v>
      </x:c>
      <x:c r="C89" s="10" t="str">
        <x:v>GET, POST; explicit equality actions: Inspect body/query and delegated services</x:v>
      </x:c>
      <x:c r="D89" s="10" t="str">
        <x:v>events:manage</x:v>
      </x:c>
      <x:c r="E89" s="11" t="str">
        <x:v>Candidate source; live unverified</x:v>
      </x:c>
      <x:c r="F89" s="10" t="str">
        <x:v>src/app/api/staff/flyer-variants/route.ts</x:v>
      </x:c>
      <x:c r="G89" s="11" t="str">
        <x:v>events, flyer_variants</x:v>
      </x:c>
      <x:c r="H89" s="11" t="str">
        <x:v>DB / auth / storage / email where referenced</x:v>
      </x:c>
      <x:c r="I89" s="11" t="str">
        <x:v>QA-0423 to QA-0426</x:v>
      </x:c>
      <x:c r="J89" s="11" t="str">
        <x:v>Not reviewed</x:v>
      </x:c>
      <x:c r="K89" s="11" t="str">
        <x:v>Static table/action extraction is partial; complete delegated-service mapping during inventory review.</x:v>
      </x:c>
    </x:row>
    <x:row r="90" ht="38" customHeight="1">
      <x:c r="A90" s="10" t="str">
        <x:v>API</x:v>
      </x:c>
      <x:c r="B90" s="10" t="str">
        <x:v>/api/staff/flyers</x:v>
      </x:c>
      <x:c r="C90" s="10" t="str">
        <x:v>GET, POST; explicit equality actions: Inspect body/query and delegated services</x:v>
      </x:c>
      <x:c r="D90" s="10" t="str">
        <x:v>events:manage</x:v>
      </x:c>
      <x:c r="E90" s="11" t="str">
        <x:v>Candidate source; live unverified</x:v>
      </x:c>
      <x:c r="F90" s="10" t="str">
        <x:v>src/app/api/staff/flyers/route.ts</x:v>
      </x:c>
      <x:c r="G90" s="11" t="str">
        <x:v>events</x:v>
      </x:c>
      <x:c r="H90" s="11" t="str">
        <x:v>DB / auth / storage / email where referenced</x:v>
      </x:c>
      <x:c r="I90" s="11" t="str">
        <x:v>QA-0427 to QA-0430</x:v>
      </x:c>
      <x:c r="J90" s="11" t="str">
        <x:v>Not reviewed</x:v>
      </x:c>
      <x:c r="K90" s="11" t="str">
        <x:v>Static table/action extraction is partial; complete delegated-service mapping during inventory review.</x:v>
      </x:c>
    </x:row>
    <x:row r="91" ht="38" customHeight="1">
      <x:c r="A91" s="10" t="str">
        <x:v>API</x:v>
      </x:c>
      <x:c r="B91" s="10" t="str">
        <x:v>/api/staff/governance/preview</x:v>
      </x:c>
      <x:c r="C91" s="10" t="str">
        <x:v>GET; explicit equality actions: Inspect body/query and delegated services</x:v>
      </x:c>
      <x:c r="D91" s="10" t="str">
        <x:v>Route-specific ownership/publication policy; inspect handler and delegated services</x:v>
      </x:c>
      <x:c r="E91" s="11" t="str">
        <x:v>Candidate source; live unverified</x:v>
      </x:c>
      <x:c r="F91" s="10" t="str">
        <x:v>src/app/api/staff/governance/preview/route.ts</x:v>
      </x:c>
      <x:c r="G91" s="11" t="str"/>
      <x:c r="H91" s="11" t="str">
        <x:v>DB / auth / storage / email where referenced</x:v>
      </x:c>
      <x:c r="I91" s="11" t="str">
        <x:v>QA-0431 to QA-0432</x:v>
      </x:c>
      <x:c r="J91" s="11" t="str">
        <x:v>Not reviewed</x:v>
      </x:c>
      <x:c r="K91" s="11" t="str">
        <x:v>Static table/action extraction is partial; complete delegated-service mapping during inventory review.</x:v>
      </x:c>
    </x:row>
    <x:row r="92" ht="38" customHeight="1">
      <x:c r="A92" s="10" t="str">
        <x:v>API</x:v>
      </x:c>
      <x:c r="B92" s="10" t="str">
        <x:v>/api/staff/governance</x:v>
      </x:c>
      <x:c r="C92" s="10" t="str">
        <x:v>GET, POST; explicit equality actions: Inspect body/query and delegated services</x:v>
      </x:c>
      <x:c r="D92" s="10" t="str">
        <x:v>Route-specific ownership/publication policy; inspect handler and delegated services</x:v>
      </x:c>
      <x:c r="E92" s="11" t="str">
        <x:v>Candidate source; live unverified</x:v>
      </x:c>
      <x:c r="F92" s="10" t="str">
        <x:v>src/app/api/staff/governance/route.ts</x:v>
      </x:c>
      <x:c r="G92" s="11" t="str">
        <x:v>memberships, people, profile_groups, public_media</x:v>
      </x:c>
      <x:c r="H92" s="11" t="str">
        <x:v>DB / auth / storage / email where referenced</x:v>
      </x:c>
      <x:c r="I92" s="11" t="str">
        <x:v>QA-0433 to QA-0436</x:v>
      </x:c>
      <x:c r="J92" s="11" t="str">
        <x:v>Not reviewed</x:v>
      </x:c>
      <x:c r="K92" s="11" t="str">
        <x:v>Static table/action extraction is partial; complete delegated-service mapping during inventory review.</x:v>
      </x:c>
    </x:row>
    <x:row r="93" ht="38" customHeight="1">
      <x:c r="A93" s="10" t="str">
        <x:v>API</x:v>
      </x:c>
      <x:c r="B93" s="10" t="str">
        <x:v>/api/staff/imports</x:v>
      </x:c>
      <x:c r="C93" s="10" t="str">
        <x:v>POST; explicit equality actions: preview</x:v>
      </x:c>
      <x:c r="D93" s="10" t="str">
        <x:v>events:manage</x:v>
      </x:c>
      <x:c r="E93" s="11" t="str">
        <x:v>Candidate source; live unverified</x:v>
      </x:c>
      <x:c r="F93" s="10" t="str">
        <x:v>src/app/api/staff/imports/route.ts</x:v>
      </x:c>
      <x:c r="G93" s="11" t="str">
        <x:v>event_attendance, event_registrations, events</x:v>
      </x:c>
      <x:c r="H93" s="11" t="str">
        <x:v>DB / auth / storage / email where referenced</x:v>
      </x:c>
      <x:c r="I93" s="11" t="str">
        <x:v>QA-0437 to QA-0438</x:v>
      </x:c>
      <x:c r="J93" s="11" t="str">
        <x:v>Not reviewed</x:v>
      </x:c>
      <x:c r="K93" s="11" t="str">
        <x:v>Static table/action extraction is partial; complete delegated-service mapping during inventory review.</x:v>
      </x:c>
    </x:row>
    <x:row r="94" ht="38" customHeight="1">
      <x:c r="A94" s="10" t="str">
        <x:v>API</x:v>
      </x:c>
      <x:c r="B94" s="10" t="str">
        <x:v>/api/staff/inbox</x:v>
      </x:c>
      <x:c r="C94" s="10" t="str">
        <x:v>GET, POST; explicit equality actions: draft, note, send, update</x:v>
      </x:c>
      <x:c r="D94" s="10" t="str">
        <x:v>communications:manage</x:v>
      </x:c>
      <x:c r="E94" s="11" t="str">
        <x:v>Candidate source; live unverified</x:v>
      </x:c>
      <x:c r="F94" s="10" t="str">
        <x:v>src/app/api/staff/inbox/route.ts</x:v>
      </x:c>
      <x:c r="G94" s="11" t="str">
        <x:v>email_conversations, email_messages, email_notes, inquiries, staff_roles</x:v>
      </x:c>
      <x:c r="H94" s="11" t="str">
        <x:v>DB / auth / storage / email where referenced</x:v>
      </x:c>
      <x:c r="I94" s="11" t="str">
        <x:v>QA-0439 to QA-0442</x:v>
      </x:c>
      <x:c r="J94" s="11" t="str">
        <x:v>Not reviewed</x:v>
      </x:c>
      <x:c r="K94" s="11" t="str">
        <x:v>Static table/action extraction is partial; complete delegated-service mapping during inventory review.</x:v>
      </x:c>
    </x:row>
    <x:row r="95" ht="38" customHeight="1">
      <x:c r="A95" s="10" t="str">
        <x:v>API</x:v>
      </x:c>
      <x:c r="B95" s="10" t="str">
        <x:v>/api/staff/invitation-releases</x:v>
      </x:c>
      <x:c r="C95" s="10" t="str">
        <x:v>GET, POST; explicit equality actions: confirm, review</x:v>
      </x:c>
      <x:c r="D95" s="10" t="str">
        <x:v>staff:manage</x:v>
      </x:c>
      <x:c r="E95" s="11" t="str">
        <x:v>Candidate source; live unverified</x:v>
      </x:c>
      <x:c r="F95" s="10" t="str">
        <x:v>src/app/api/staff/invitation-releases/route.ts</x:v>
      </x:c>
      <x:c r="G95" s="11" t="str"/>
      <x:c r="H95" s="11" t="str">
        <x:v>DB / auth / storage / email where referenced</x:v>
      </x:c>
      <x:c r="I95" s="11" t="str">
        <x:v>QA-0443 to QA-0446</x:v>
      </x:c>
      <x:c r="J95" s="11" t="str">
        <x:v>Not reviewed</x:v>
      </x:c>
      <x:c r="K95" s="11" t="str">
        <x:v>Static table/action extraction is partial; complete delegated-service mapping during inventory review.</x:v>
      </x:c>
    </x:row>
    <x:row r="96" ht="38" customHeight="1">
      <x:c r="A96" s="10" t="str">
        <x:v>API</x:v>
      </x:c>
      <x:c r="B96" s="10" t="str">
        <x:v>/api/staff/invitation-templates</x:v>
      </x:c>
      <x:c r="C96" s="10" t="str">
        <x:v>GET, POST; explicit equality actions: preview</x:v>
      </x:c>
      <x:c r="D96" s="10" t="str">
        <x:v>staff:manage</x:v>
      </x:c>
      <x:c r="E96" s="11" t="str">
        <x:v>Candidate source; live unverified</x:v>
      </x:c>
      <x:c r="F96" s="10" t="str">
        <x:v>src/app/api/staff/invitation-templates/route.ts</x:v>
      </x:c>
      <x:c r="G96" s="11" t="str"/>
      <x:c r="H96" s="11" t="str">
        <x:v>DB / auth / storage / email where referenced</x:v>
      </x:c>
      <x:c r="I96" s="11" t="str">
        <x:v>QA-0447 to QA-0450</x:v>
      </x:c>
      <x:c r="J96" s="11" t="str">
        <x:v>Not reviewed</x:v>
      </x:c>
      <x:c r="K96" s="11" t="str">
        <x:v>Static table/action extraction is partial; complete delegated-service mapping during inventory review.</x:v>
      </x:c>
    </x:row>
    <x:row r="97" ht="38" customHeight="1">
      <x:c r="A97" s="10" t="str">
        <x:v>API</x:v>
      </x:c>
      <x:c r="B97" s="10" t="str">
        <x:v>/api/staff/media</x:v>
      </x:c>
      <x:c r="C97" s="10" t="str">
        <x:v>GET, POST; explicit equality actions: publish, save</x:v>
      </x:c>
      <x:c r="D97" s="10" t="str">
        <x:v>content:publish</x:v>
      </x:c>
      <x:c r="E97" s="11" t="str">
        <x:v>Candidate source; live unverified</x:v>
      </x:c>
      <x:c r="F97" s="10" t="str">
        <x:v>src/app/api/staff/media/route.ts</x:v>
      </x:c>
      <x:c r="G97" s="11" t="str">
        <x:v>audit_events, public_media</x:v>
      </x:c>
      <x:c r="H97" s="11" t="str">
        <x:v>DB / auth / storage / email where referenced</x:v>
      </x:c>
      <x:c r="I97" s="11" t="str">
        <x:v>QA-0451 to QA-0454</x:v>
      </x:c>
      <x:c r="J97" s="11" t="str">
        <x:v>Not reviewed</x:v>
      </x:c>
      <x:c r="K97" s="11" t="str">
        <x:v>Static table/action extraction is partial; complete delegated-service mapping during inventory review.</x:v>
      </x:c>
    </x:row>
    <x:row r="98" ht="38" customHeight="1">
      <x:c r="A98" s="10" t="str">
        <x:v>API</x:v>
      </x:c>
      <x:c r="B98" s="10" t="str">
        <x:v>/api/staff/member-actions</x:v>
      </x:c>
      <x:c r="C98" s="10" t="str">
        <x:v>POST; explicit equality actions: membership</x:v>
      </x:c>
      <x:c r="D98" s="10" t="str">
        <x:v>staff:manage</x:v>
      </x:c>
      <x:c r="E98" s="11" t="str">
        <x:v>Candidate source; live unverified</x:v>
      </x:c>
      <x:c r="F98" s="10" t="str">
        <x:v>src/app/api/staff/member-actions/route.ts</x:v>
      </x:c>
      <x:c r="G98" s="11" t="str">
        <x:v>memberships, people</x:v>
      </x:c>
      <x:c r="H98" s="11" t="str">
        <x:v>DB / auth / storage / email where referenced</x:v>
      </x:c>
      <x:c r="I98" s="11" t="str">
        <x:v>QA-0455 to QA-0456</x:v>
      </x:c>
      <x:c r="J98" s="11" t="str">
        <x:v>Not reviewed</x:v>
      </x:c>
      <x:c r="K98" s="11" t="str">
        <x:v>Static table/action extraction is partial; complete delegated-service mapping during inventory review.</x:v>
      </x:c>
    </x:row>
    <x:row r="99" ht="38" customHeight="1">
      <x:c r="A99" s="10" t="str">
        <x:v>API</x:v>
      </x:c>
      <x:c r="B99" s="10" t="str">
        <x:v>/api/staff/member-import-jobs</x:v>
      </x:c>
      <x:c r="C99" s="10" t="str">
        <x:v>GET, POST; explicit equality actions: enqueue, retry</x:v>
      </x:c>
      <x:c r="D99" s="10" t="str">
        <x:v>staff:manage</x:v>
      </x:c>
      <x:c r="E99" s="11" t="str">
        <x:v>Candidate source; live unverified</x:v>
      </x:c>
      <x:c r="F99" s="10" t="str">
        <x:v>src/app/api/staff/member-import-jobs/route.ts</x:v>
      </x:c>
      <x:c r="G99" s="11" t="str">
        <x:v>member_import_jobs, onboarding_batches</x:v>
      </x:c>
      <x:c r="H99" s="11" t="str">
        <x:v>DB / auth / storage / email where referenced</x:v>
      </x:c>
      <x:c r="I99" s="11" t="str">
        <x:v>QA-0457 to QA-0460</x:v>
      </x:c>
      <x:c r="J99" s="11" t="str">
        <x:v>Not reviewed</x:v>
      </x:c>
      <x:c r="K99" s="11" t="str">
        <x:v>Static table/action extraction is partial; complete delegated-service mapping during inventory review.</x:v>
      </x:c>
    </x:row>
    <x:row r="100" ht="52" customHeight="1">
      <x:c r="A100" s="10" t="str">
        <x:v>API</x:v>
      </x:c>
      <x:c r="B100" s="10" t="str">
        <x:v>/api/staff/members</x:v>
      </x:c>
      <x:c r="C100" s="10" t="str">
        <x:v>GET, POST; explicit equality actions: create, update</x:v>
      </x:c>
      <x:c r="D100" s="10" t="str">
        <x:v>members:review, staff:manage</x:v>
      </x:c>
      <x:c r="E100" s="11" t="str">
        <x:v>Candidate source; live unverified</x:v>
      </x:c>
      <x:c r="F100" s="10" t="str">
        <x:v>src/app/api/staff/members/route.ts</x:v>
      </x:c>
      <x:c r="G100" s="11" t="str">
        <x:v>account_invitation_holds, event_registrations, memberships, onboarding_invitations, onboarding_mail, people, staff_roles</x:v>
      </x:c>
      <x:c r="H100" s="11" t="str">
        <x:v>DB / auth / storage / email where referenced</x:v>
      </x:c>
      <x:c r="I100" s="11" t="str">
        <x:v>QA-0461 to QA-0464</x:v>
      </x:c>
      <x:c r="J100" s="11" t="str">
        <x:v>Not reviewed</x:v>
      </x:c>
      <x:c r="K100" s="11" t="str">
        <x:v>Static table/action extraction is partial; complete delegated-service mapping during inventory review.</x:v>
      </x:c>
    </x:row>
    <x:row r="101" ht="38" customHeight="1">
      <x:c r="A101" s="10" t="str">
        <x:v>API</x:v>
      </x:c>
      <x:c r="B101" s="10" t="str">
        <x:v>/api/staff/news-sources</x:v>
      </x:c>
      <x:c r="C101" s="10" t="str">
        <x:v>GET, POST; explicit equality actions: approve, pause, save</x:v>
      </x:c>
      <x:c r="D101" s="10" t="str">
        <x:v>content:publish</x:v>
      </x:c>
      <x:c r="E101" s="11" t="str">
        <x:v>Candidate source; live unverified</x:v>
      </x:c>
      <x:c r="F101" s="10" t="str">
        <x:v>src/app/api/staff/news-sources/route.ts</x:v>
      </x:c>
      <x:c r="G101" s="11" t="str">
        <x:v>news_source_revisions, news_sources</x:v>
      </x:c>
      <x:c r="H101" s="11" t="str">
        <x:v>DB / auth / storage / email where referenced</x:v>
      </x:c>
      <x:c r="I101" s="11" t="str">
        <x:v>QA-0465 to QA-0468</x:v>
      </x:c>
      <x:c r="J101" s="11" t="str">
        <x:v>Not reviewed</x:v>
      </x:c>
      <x:c r="K101" s="11" t="str">
        <x:v>Static table/action extraction is partial; complete delegated-service mapping during inventory review.</x:v>
      </x:c>
    </x:row>
    <x:row r="102" ht="38" customHeight="1">
      <x:c r="A102" s="10" t="str">
        <x:v>API</x:v>
      </x:c>
      <x:c r="B102" s="10" t="str">
        <x:v>/api/staff/onboarding-email</x:v>
      </x:c>
      <x:c r="C102" s="10" t="str">
        <x:v>GET, POST; explicit equality actions: test</x:v>
      </x:c>
      <x:c r="D102" s="10" t="str">
        <x:v>staff:manage</x:v>
      </x:c>
      <x:c r="E102" s="11" t="str">
        <x:v>Candidate source; live unverified</x:v>
      </x:c>
      <x:c r="F102" s="10" t="str">
        <x:v>src/app/api/staff/onboarding-email/route.ts</x:v>
      </x:c>
      <x:c r="G102" s="11" t="str">
        <x:v>onboarding_mail, onboarding_settings</x:v>
      </x:c>
      <x:c r="H102" s="11" t="str">
        <x:v>DB / auth / storage / email where referenced</x:v>
      </x:c>
      <x:c r="I102" s="11" t="str">
        <x:v>QA-0469 to QA-0472</x:v>
      </x:c>
      <x:c r="J102" s="11" t="str">
        <x:v>Not reviewed</x:v>
      </x:c>
      <x:c r="K102" s="11" t="str">
        <x:v>Static table/action extraction is partial; complete delegated-service mapping during inventory review.</x:v>
      </x:c>
    </x:row>
    <x:row r="103" ht="38" customHeight="1">
      <x:c r="A103" s="10" t="str">
        <x:v>API</x:v>
      </x:c>
      <x:c r="B103" s="10" t="str">
        <x:v>/api/staff/onboarding-import</x:v>
      </x:c>
      <x:c r="C103" s="10" t="str">
        <x:v>GET, POST; explicit equality actions: commit, reissue, retry</x:v>
      </x:c>
      <x:c r="D103" s="10" t="str">
        <x:v>staff:manage</x:v>
      </x:c>
      <x:c r="E103" s="11" t="str">
        <x:v>Candidate source; live unverified</x:v>
      </x:c>
      <x:c r="F103" s="10" t="str">
        <x:v>src/app/api/staff/onboarding-import/route.ts</x:v>
      </x:c>
      <x:c r="G103" s="11" t="str">
        <x:v>application_drafts, onboarding_batches, onboarding_invitations, onboarding_mail</x:v>
      </x:c>
      <x:c r="H103" s="11" t="str">
        <x:v>DB / auth / storage / email where referenced</x:v>
      </x:c>
      <x:c r="I103" s="11" t="str">
        <x:v>QA-0473 to QA-0476</x:v>
      </x:c>
      <x:c r="J103" s="11" t="str">
        <x:v>Not reviewed</x:v>
      </x:c>
      <x:c r="K103" s="11" t="str">
        <x:v>Static table/action extraction is partial; complete delegated-service mapping during inventory review.</x:v>
      </x:c>
    </x:row>
    <x:row r="104" ht="38" customHeight="1">
      <x:c r="A104" s="10" t="str">
        <x:v>API</x:v>
      </x:c>
      <x:c r="B104" s="10" t="str">
        <x:v>/api/staff/payment-details</x:v>
      </x:c>
      <x:c r="C104" s="10" t="str">
        <x:v>GET, POST; explicit equality actions: active, save</x:v>
      </x:c>
      <x:c r="D104" s="10" t="str">
        <x:v>payments:manage</x:v>
      </x:c>
      <x:c r="E104" s="11" t="str">
        <x:v>Candidate source; live unverified</x:v>
      </x:c>
      <x:c r="F104" s="10" t="str">
        <x:v>src/app/api/staff/payment-details/route.ts</x:v>
      </x:c>
      <x:c r="G104" s="11" t="str">
        <x:v>payment_detail_revisions, payment_details, payment_qr_images</x:v>
      </x:c>
      <x:c r="H104" s="11" t="str">
        <x:v>DB / auth / storage / email where referenced</x:v>
      </x:c>
      <x:c r="I104" s="11" t="str">
        <x:v>QA-0477 to QA-0480</x:v>
      </x:c>
      <x:c r="J104" s="11" t="str">
        <x:v>Not reviewed</x:v>
      </x:c>
      <x:c r="K104" s="11" t="str">
        <x:v>Static table/action extraction is partial; complete delegated-service mapping during inventory review.</x:v>
      </x:c>
    </x:row>
    <x:row r="105" ht="38" customHeight="1">
      <x:c r="A105" s="10" t="str">
        <x:v>API</x:v>
      </x:c>
      <x:c r="B105" s="10" t="str">
        <x:v>/api/staff/payment-qr</x:v>
      </x:c>
      <x:c r="C105" s="10" t="str">
        <x:v>POST; explicit equality actions: Inspect body/query and delegated services</x:v>
      </x:c>
      <x:c r="D105" s="10" t="str">
        <x:v>payments:manage</x:v>
      </x:c>
      <x:c r="E105" s="11" t="str">
        <x:v>Candidate source; live unverified</x:v>
      </x:c>
      <x:c r="F105" s="10" t="str">
        <x:v>src/app/api/staff/payment-qr/route.ts</x:v>
      </x:c>
      <x:c r="G105" s="11" t="str">
        <x:v>audit_events, payment_qr_images</x:v>
      </x:c>
      <x:c r="H105" s="11" t="str">
        <x:v>DB / auth / storage / email where referenced</x:v>
      </x:c>
      <x:c r="I105" s="11" t="str">
        <x:v>QA-0481 to QA-0482</x:v>
      </x:c>
      <x:c r="J105" s="11" t="str">
        <x:v>Not reviewed</x:v>
      </x:c>
      <x:c r="K105" s="11" t="str">
        <x:v>Static table/action extraction is partial; complete delegated-service mapping during inventory review.</x:v>
      </x:c>
    </x:row>
    <x:row r="106" ht="38" customHeight="1">
      <x:c r="A106" s="10" t="str">
        <x:v>API</x:v>
      </x:c>
      <x:c r="B106" s="10" t="str">
        <x:v>/api/staff/profile-groups</x:v>
      </x:c>
      <x:c r="C106" s="10" t="str">
        <x:v>POST; explicit equality actions: archive, restore, save</x:v>
      </x:c>
      <x:c r="D106" s="10" t="str">
        <x:v>content:publish</x:v>
      </x:c>
      <x:c r="E106" s="11" t="str">
        <x:v>Candidate source; live unverified</x:v>
      </x:c>
      <x:c r="F106" s="10" t="str">
        <x:v>src/app/api/staff/profile-groups/route.ts</x:v>
      </x:c>
      <x:c r="G106" s="11" t="str">
        <x:v>people, person_assignments, profile_groups</x:v>
      </x:c>
      <x:c r="H106" s="11" t="str">
        <x:v>DB / auth / storage / email where referenced</x:v>
      </x:c>
      <x:c r="I106" s="11" t="str">
        <x:v>QA-0483 to QA-0484</x:v>
      </x:c>
      <x:c r="J106" s="11" t="str">
        <x:v>Not reviewed</x:v>
      </x:c>
      <x:c r="K106" s="11" t="str">
        <x:v>Static table/action extraction is partial; complete delegated-service mapping during inventory review.</x:v>
      </x:c>
    </x:row>
    <x:row r="107" ht="38" customHeight="1">
      <x:c r="A107" s="10" t="str">
        <x:v>API</x:v>
      </x:c>
      <x:c r="B107" s="10" t="str">
        <x:v>/api/staff/profile-reviews</x:v>
      </x:c>
      <x:c r="C107" s="10" t="str">
        <x:v>POST; explicit equality actions: Inspect body/query and delegated services</x:v>
      </x:c>
      <x:c r="D107" s="10" t="str">
        <x:v>Route-specific ownership/publication policy; inspect handler and delegated services</x:v>
      </x:c>
      <x:c r="E107" s="11" t="str">
        <x:v>Candidate source; live unverified</x:v>
      </x:c>
      <x:c r="F107" s="10" t="str">
        <x:v>src/app/api/staff/profile-reviews/route.ts</x:v>
      </x:c>
      <x:c r="G107" s="11" t="str"/>
      <x:c r="H107" s="11" t="str">
        <x:v>DB / auth / storage / email where referenced</x:v>
      </x:c>
      <x:c r="I107" s="11" t="str">
        <x:v>QA-0485 to QA-0486</x:v>
      </x:c>
      <x:c r="J107" s="11" t="str">
        <x:v>Not reviewed</x:v>
      </x:c>
      <x:c r="K107" s="11" t="str">
        <x:v>Static table/action extraction is partial; complete delegated-service mapping during inventory review.</x:v>
      </x:c>
    </x:row>
    <x:row r="108" ht="38" customHeight="1">
      <x:c r="A108" s="10" t="str">
        <x:v>API</x:v>
      </x:c>
      <x:c r="B108" s="10" t="str">
        <x:v>/api/staff/registration-payments</x:v>
      </x:c>
      <x:c r="C108" s="10" t="str">
        <x:v>GET, POST; explicit equality actions: Inspect body/query and delegated services</x:v>
      </x:c>
      <x:c r="D108" s="10" t="str">
        <x:v>payments:manage</x:v>
      </x:c>
      <x:c r="E108" s="11" t="str">
        <x:v>Candidate source; live unverified</x:v>
      </x:c>
      <x:c r="F108" s="10" t="str">
        <x:v>src/app/api/staff/registration-payments/route.ts</x:v>
      </x:c>
      <x:c r="G108" s="11" t="str">
        <x:v>event_payment_history, event_registrations, events, memberships, people</x:v>
      </x:c>
      <x:c r="H108" s="11" t="str">
        <x:v>DB / auth / storage / email where referenced</x:v>
      </x:c>
      <x:c r="I108" s="11" t="str">
        <x:v>QA-0487 to QA-0490</x:v>
      </x:c>
      <x:c r="J108" s="11" t="str">
        <x:v>Not reviewed</x:v>
      </x:c>
      <x:c r="K108" s="11" t="str">
        <x:v>Static table/action extraction is partial; complete delegated-service mapping during inventory review.</x:v>
      </x:c>
    </x:row>
    <x:row r="109" ht="38" customHeight="1">
      <x:c r="A109" s="10" t="str">
        <x:v>API</x:v>
      </x:c>
      <x:c r="B109" s="10" t="str">
        <x:v>/api/staff/registrations</x:v>
      </x:c>
      <x:c r="C109" s="10" t="str">
        <x:v>POST; explicit equality actions: cancel</x:v>
      </x:c>
      <x:c r="D109" s="10" t="str">
        <x:v>events:manage</x:v>
      </x:c>
      <x:c r="E109" s="11" t="str">
        <x:v>Candidate source; live unverified</x:v>
      </x:c>
      <x:c r="F109" s="10" t="str">
        <x:v>src/app/api/staff/registrations/route.ts</x:v>
      </x:c>
      <x:c r="G109" s="11" t="str">
        <x:v>event_registrations, events</x:v>
      </x:c>
      <x:c r="H109" s="11" t="str">
        <x:v>DB / auth / storage / email where referenced</x:v>
      </x:c>
      <x:c r="I109" s="11" t="str">
        <x:v>QA-0491 to QA-0492</x:v>
      </x:c>
      <x:c r="J109" s="11" t="str">
        <x:v>Not reviewed</x:v>
      </x:c>
      <x:c r="K109" s="11" t="str">
        <x:v>Static table/action extraction is partial; complete delegated-service mapping during inventory review.</x:v>
      </x:c>
    </x:row>
    <x:row r="110" ht="38" customHeight="1">
      <x:c r="A110" s="10" t="str">
        <x:v>API</x:v>
      </x:c>
      <x:c r="B110" s="10" t="str">
        <x:v>/api/staff/report-presets</x:v>
      </x:c>
      <x:c r="C110" s="10" t="str">
        <x:v>GET, POST; explicit equality actions: delete, save</x:v>
      </x:c>
      <x:c r="D110" s="10" t="str">
        <x:v>Route-specific ownership/publication policy; inspect handler and delegated services</x:v>
      </x:c>
      <x:c r="E110" s="11" t="str">
        <x:v>Candidate source; live unverified</x:v>
      </x:c>
      <x:c r="F110" s="10" t="str">
        <x:v>src/app/api/staff/report-presets/route.ts</x:v>
      </x:c>
      <x:c r="G110" s="11" t="str">
        <x:v>report_presets</x:v>
      </x:c>
      <x:c r="H110" s="11" t="str">
        <x:v>DB / auth / storage / email where referenced</x:v>
      </x:c>
      <x:c r="I110" s="11" t="str">
        <x:v>QA-0493 to QA-0496</x:v>
      </x:c>
      <x:c r="J110" s="11" t="str">
        <x:v>Not reviewed</x:v>
      </x:c>
      <x:c r="K110" s="11" t="str">
        <x:v>Static table/action extraction is partial; complete delegated-service mapping during inventory review.</x:v>
      </x:c>
    </x:row>
    <x:row r="111" ht="38" customHeight="1">
      <x:c r="A111" s="10" t="str">
        <x:v>API</x:v>
      </x:c>
      <x:c r="B111" s="10" t="str">
        <x:v>/api/staff/reports/export</x:v>
      </x:c>
      <x:c r="C111" s="10" t="str">
        <x:v>GET; explicit equality actions: Inspect body/query and delegated services</x:v>
      </x:c>
      <x:c r="D111" s="10" t="str">
        <x:v>Route-specific ownership/publication policy; inspect handler and delegated services</x:v>
      </x:c>
      <x:c r="E111" s="11" t="str">
        <x:v>Candidate source; live unverified</x:v>
      </x:c>
      <x:c r="F111" s="10" t="str">
        <x:v>src/app/api/staff/reports/export/route.ts</x:v>
      </x:c>
      <x:c r="G111" s="11" t="str"/>
      <x:c r="H111" s="11" t="str">
        <x:v>DB / auth / storage / email where referenced</x:v>
      </x:c>
      <x:c r="I111" s="11" t="str">
        <x:v>QA-0497 to QA-0498</x:v>
      </x:c>
      <x:c r="J111" s="11" t="str">
        <x:v>Not reviewed</x:v>
      </x:c>
      <x:c r="K111" s="11" t="str">
        <x:v>Static table/action extraction is partial; complete delegated-service mapping during inventory review.</x:v>
      </x:c>
    </x:row>
    <x:row r="112" ht="38" customHeight="1">
      <x:c r="A112" s="10" t="str">
        <x:v>API</x:v>
      </x:c>
      <x:c r="B112" s="10" t="str">
        <x:v>/api/staff/reports</x:v>
      </x:c>
      <x:c r="C112" s="10" t="str">
        <x:v>GET; explicit equality actions: Inspect body/query and delegated services</x:v>
      </x:c>
      <x:c r="D112" s="10" t="str">
        <x:v>Route-specific ownership/publication policy; inspect handler and delegated services</x:v>
      </x:c>
      <x:c r="E112" s="11" t="str">
        <x:v>Candidate source; live unverified</x:v>
      </x:c>
      <x:c r="F112" s="10" t="str">
        <x:v>src/app/api/staff/reports/route.ts</x:v>
      </x:c>
      <x:c r="G112" s="11" t="str"/>
      <x:c r="H112" s="11" t="str">
        <x:v>DB / auth / storage / email where referenced</x:v>
      </x:c>
      <x:c r="I112" s="11" t="str">
        <x:v>QA-0499 to QA-0500</x:v>
      </x:c>
      <x:c r="J112" s="11" t="str">
        <x:v>Not reviewed</x:v>
      </x:c>
      <x:c r="K112" s="11" t="str">
        <x:v>Static table/action extraction is partial; complete delegated-service mapping during inventory review.</x:v>
      </x:c>
    </x:row>
    <x:row r="113" ht="38" customHeight="1">
      <x:c r="A113" s="10" t="str">
        <x:v>API</x:v>
      </x:c>
      <x:c r="B113" s="10" t="str">
        <x:v>/api/staff/search</x:v>
      </x:c>
      <x:c r="C113" s="10" t="str">
        <x:v>GET; explicit equality actions: Inspect body/query and delegated services</x:v>
      </x:c>
      <x:c r="D113" s="10" t="str">
        <x:v>Route-specific ownership/publication policy; inspect handler and delegated services</x:v>
      </x:c>
      <x:c r="E113" s="11" t="str">
        <x:v>Candidate source; live unverified</x:v>
      </x:c>
      <x:c r="F113" s="10" t="str">
        <x:v>src/app/api/staff/search/route.ts</x:v>
      </x:c>
      <x:c r="G113" s="11" t="str">
        <x:v>report_presets</x:v>
      </x:c>
      <x:c r="H113" s="11" t="str">
        <x:v>DB / auth / storage / email where referenced</x:v>
      </x:c>
      <x:c r="I113" s="11" t="str">
        <x:v>QA-0501 to QA-0502</x:v>
      </x:c>
      <x:c r="J113" s="11" t="str">
        <x:v>Not reviewed</x:v>
      </x:c>
      <x:c r="K113" s="11" t="str">
        <x:v>Static table/action extraction is partial; complete delegated-service mapping during inventory review.</x:v>
      </x:c>
    </x:row>
    <x:row r="114" ht="52" customHeight="1">
      <x:c r="A114" s="10" t="str">
        <x:v>API</x:v>
      </x:c>
      <x:c r="B114" s="10" t="str">
        <x:v>/api/staff/verification</x:v>
      </x:c>
      <x:c r="C114" s="10" t="str">
        <x:v>GET, POST; explicit equality actions: corrections, impact, publish, save</x:v>
      </x:c>
      <x:c r="D114" s="10" t="str">
        <x:v>members:review</x:v>
      </x:c>
      <x:c r="E114" s="11" t="str">
        <x:v>Candidate source; live unverified</x:v>
      </x:c>
      <x:c r="F114" s="10" t="str">
        <x:v>src/app/api/staff/verification/route.ts</x:v>
      </x:c>
      <x:c r="G114" s="11" t="str">
        <x:v>audit_events, people, verification_policies, verification_policy_draft, verification_submissions</x:v>
      </x:c>
      <x:c r="H114" s="11" t="str">
        <x:v>DB / auth / storage / email where referenced</x:v>
      </x:c>
      <x:c r="I114" s="11" t="str">
        <x:v>QA-0503 to QA-0506</x:v>
      </x:c>
      <x:c r="J114" s="11" t="str">
        <x:v>Not reviewed</x:v>
      </x:c>
      <x:c r="K114" s="11" t="str">
        <x:v>Static table/action extraction is partial; complete delegated-service mapping during inventory review.</x:v>
      </x:c>
    </x:row>
    <x:row r="115" ht="38" customHeight="1">
      <x:c r="A115" s="10" t="str">
        <x:v>API</x:v>
      </x:c>
      <x:c r="B115" s="10" t="str">
        <x:v>/api/staff/website-resource-files</x:v>
      </x:c>
      <x:c r="C115" s="10" t="str">
        <x:v>POST; explicit equality actions: Inspect body/query and delegated services</x:v>
      </x:c>
      <x:c r="D115" s="10" t="str">
        <x:v>content:publish</x:v>
      </x:c>
      <x:c r="E115" s="11" t="str">
        <x:v>Candidate source; live unverified</x:v>
      </x:c>
      <x:c r="F115" s="10" t="str">
        <x:v>src/app/api/staff/website-resource-files/route.ts</x:v>
      </x:c>
      <x:c r="G115" s="11" t="str">
        <x:v>audit_events, website_resource_files, website_resources, website_revisions</x:v>
      </x:c>
      <x:c r="H115" s="11" t="str">
        <x:v>DB / auth / storage / email where referenced</x:v>
      </x:c>
      <x:c r="I115" s="11" t="str">
        <x:v>QA-0507 to QA-0508</x:v>
      </x:c>
      <x:c r="J115" s="11" t="str">
        <x:v>Not reviewed</x:v>
      </x:c>
      <x:c r="K115" s="11" t="str">
        <x:v>Static table/action extraction is partial; complete delegated-service mapping during inventory review.</x:v>
      </x:c>
    </x:row>
    <x:row r="116" ht="38" customHeight="1">
      <x:c r="A116" s="10" t="str">
        <x:v>API</x:v>
      </x:c>
      <x:c r="B116" s="10" t="str">
        <x:v>/api/staff/website-resources</x:v>
      </x:c>
      <x:c r="C116" s="10" t="str">
        <x:v>GET, POST; explicit equality actions: archive, publish, restore, save</x:v>
      </x:c>
      <x:c r="D116" s="10" t="str">
        <x:v>content:publish</x:v>
      </x:c>
      <x:c r="E116" s="11" t="str">
        <x:v>Candidate source; live unverified</x:v>
      </x:c>
      <x:c r="F116" s="10" t="str">
        <x:v>src/app/api/staff/website-resources/route.ts</x:v>
      </x:c>
      <x:c r="G116" s="11" t="str">
        <x:v>website_resource_files, website_resources, website_revisions</x:v>
      </x:c>
      <x:c r="H116" s="11" t="str">
        <x:v>DB / auth / storage / email where referenced</x:v>
      </x:c>
      <x:c r="I116" s="11" t="str">
        <x:v>QA-0509 to QA-0512</x:v>
      </x:c>
      <x:c r="J116" s="11" t="str">
        <x:v>Not reviewed</x:v>
      </x:c>
      <x:c r="K116" s="11" t="str">
        <x:v>Static table/action extraction is partial; complete delegated-service mapping during inventory review.</x:v>
      </x:c>
    </x:row>
    <x:row r="117" ht="38" customHeight="1">
      <x:c r="A117" s="10" t="str">
        <x:v>API</x:v>
      </x:c>
      <x:c r="B117" s="10" t="str">
        <x:v>/api/staff/website-settings</x:v>
      </x:c>
      <x:c r="C117" s="10" t="str">
        <x:v>GET, POST; explicit equality actions: publish, save</x:v>
      </x:c>
      <x:c r="D117" s="10" t="str">
        <x:v>content:publish</x:v>
      </x:c>
      <x:c r="E117" s="11" t="str">
        <x:v>Candidate source; live unverified</x:v>
      </x:c>
      <x:c r="F117" s="10" t="str">
        <x:v>src/app/api/staff/website-settings/route.ts</x:v>
      </x:c>
      <x:c r="G117" s="11" t="str">
        <x:v>public_media, website_revisions, website_settings</x:v>
      </x:c>
      <x:c r="H117" s="11" t="str">
        <x:v>DB / auth / storage / email where referenced</x:v>
      </x:c>
      <x:c r="I117" s="11" t="str">
        <x:v>QA-0513 to QA-0516</x:v>
      </x:c>
      <x:c r="J117" s="11" t="str">
        <x:v>Not reviewed</x:v>
      </x:c>
      <x:c r="K117" s="11" t="str">
        <x:v>Static table/action extraction is partial; complete delegated-service mapping during inventory review.</x:v>
      </x:c>
    </x:row>
    <x:row r="118" ht="38" customHeight="1">
      <x:c r="A118" s="10" t="str">
        <x:v>API</x:v>
      </x:c>
      <x:c r="B118" s="10" t="str">
        <x:v>/api/webhooks/resend</x:v>
      </x:c>
      <x:c r="C118" s="10" t="str">
        <x:v>POST; explicit equality actions: Inspect body/query and delegated services</x:v>
      </x:c>
      <x:c r="D118" s="10" t="str">
        <x:v>Route-specific ownership/publication policy; inspect handler and delegated services</x:v>
      </x:c>
      <x:c r="E118" s="11" t="str">
        <x:v>Candidate source; live unverified</x:v>
      </x:c>
      <x:c r="F118" s="10" t="str">
        <x:v>src/app/api/webhooks/resend/route.ts</x:v>
      </x:c>
      <x:c r="G118" s="11" t="str"/>
      <x:c r="H118" s="11" t="str">
        <x:v>DB / auth / storage / email where referenced</x:v>
      </x:c>
      <x:c r="I118" s="11" t="str">
        <x:v>QA-0517</x:v>
      </x:c>
      <x:c r="J118" s="11" t="str">
        <x:v>Not reviewed</x:v>
      </x:c>
      <x:c r="K118" s="11" t="str">
        <x:v>Static table/action extraction is partial; complete delegated-service mapping during inventory review.</x:v>
      </x:c>
    </x:row>
    <x:row r="119" ht="38" customHeight="1">
      <x:c r="A119" s="10" t="str">
        <x:v>API</x:v>
      </x:c>
      <x:c r="B119" s="10" t="str">
        <x:v>/downloads/[id]</x:v>
      </x:c>
      <x:c r="C119" s="10" t="str">
        <x:v>GET; explicit equality actions: Inspect body/query and delegated services</x:v>
      </x:c>
      <x:c r="D119" s="10" t="str">
        <x:v>Route-specific ownership/publication policy; inspect handler and delegated services</x:v>
      </x:c>
      <x:c r="E119" s="11" t="str">
        <x:v>Candidate source; live unverified</x:v>
      </x:c>
      <x:c r="F119" s="10" t="str">
        <x:v>src/app/downloads/[id]/route.ts</x:v>
      </x:c>
      <x:c r="G119" s="11" t="str">
        <x:v>website_resource_files, website_resources</x:v>
      </x:c>
      <x:c r="H119" s="11" t="str">
        <x:v>DB / auth / storage / email where referenced</x:v>
      </x:c>
      <x:c r="I119" s="11" t="str">
        <x:v>QA-0518</x:v>
      </x:c>
      <x:c r="J119" s="11" t="str">
        <x:v>Not reviewed</x:v>
      </x:c>
      <x:c r="K119" s="11" t="str">
        <x:v>Static table/action extraction is partial; complete delegated-service mapping during inventory review.</x:v>
      </x:c>
    </x:row>
    <x:row r="120" ht="38" customHeight="1">
      <x:c r="A120" s="10" t="str">
        <x:v>API</x:v>
      </x:c>
      <x:c r="B120" s="10" t="str">
        <x:v>/media/[id]</x:v>
      </x:c>
      <x:c r="C120" s="10" t="str">
        <x:v>GET; explicit equality actions: Inspect body/query and delegated services</x:v>
      </x:c>
      <x:c r="D120" s="10" t="str">
        <x:v>content:publish</x:v>
      </x:c>
      <x:c r="E120" s="11" t="str">
        <x:v>Candidate source; live unverified</x:v>
      </x:c>
      <x:c r="F120" s="10" t="str">
        <x:v>src/app/media/[id]/route.ts</x:v>
      </x:c>
      <x:c r="G120" s="11" t="str">
        <x:v>public_media</x:v>
      </x:c>
      <x:c r="H120" s="11" t="str">
        <x:v>DB / auth / storage / email where referenced</x:v>
      </x:c>
      <x:c r="I120" s="11" t="str">
        <x:v>QA-0519</x:v>
      </x:c>
      <x:c r="J120" s="11" t="str">
        <x:v>Not reviewed</x:v>
      </x:c>
      <x:c r="K120" s="11" t="str">
        <x:v>Static table/action extraction is partial; complete delegated-service mapping during inventory review.</x:v>
      </x:c>
    </x:row>
    <x:row r="121" ht="38" customHeight="1">
      <x:c r="A121" s="10" t="str">
        <x:v>Subsection</x:v>
      </x:c>
      <x:c r="B121" s="10" t="str">
        <x:v>/admin</x:v>
      </x:c>
      <x:c r="C121" s="10" t="str">
        <x:v>Overview</x:v>
      </x:c>
      <x:c r="D121" s="10" t="str">
        <x:v>Intended permitted role</x:v>
      </x:c>
      <x:c r="E121" s="11" t="str">
        <x:v>Candidate inventory; confirm visible controls</x:v>
      </x:c>
      <x:c r="F121" s="10" t="str">
        <x:v>staff-navigation + workspace components</x:v>
      </x:c>
      <x:c r="G121" s="11" t="str"/>
      <x:c r="H121" s="11" t="str">
        <x:v>Relevant canonical services; verify during review</x:v>
      </x:c>
      <x:c r="I121" s="11" t="str">
        <x:v>QA-0520 to QA-0522</x:v>
      </x:c>
      <x:c r="J121" s="11" t="str">
        <x:v>Not reviewed</x:v>
      </x:c>
      <x:c r="K121" s="11" t="str">
        <x:v>Add exact dialog/button/action test IDs during inventory walk.</x:v>
      </x:c>
    </x:row>
    <x:row r="122" ht="38" customHeight="1">
      <x:c r="A122" s="10" t="str">
        <x:v>Subsection</x:v>
      </x:c>
      <x:c r="B122" s="10" t="str">
        <x:v>/admin</x:v>
      </x:c>
      <x:c r="C122" s="10" t="str">
        <x:v>attention</x:v>
      </x:c>
      <x:c r="D122" s="10" t="str">
        <x:v>Intended permitted role</x:v>
      </x:c>
      <x:c r="E122" s="11" t="str">
        <x:v>Candidate inventory; confirm visible controls</x:v>
      </x:c>
      <x:c r="F122" s="10" t="str">
        <x:v>staff-navigation + workspace components</x:v>
      </x:c>
      <x:c r="G122" s="11" t="str"/>
      <x:c r="H122" s="11" t="str">
        <x:v>Relevant canonical services; verify during review</x:v>
      </x:c>
      <x:c r="I122" s="11" t="str">
        <x:v>QA-0520 to QA-0522</x:v>
      </x:c>
      <x:c r="J122" s="11" t="str">
        <x:v>Not reviewed</x:v>
      </x:c>
      <x:c r="K122" s="11" t="str">
        <x:v>Add exact dialog/button/action test IDs during inventory walk.</x:v>
      </x:c>
    </x:row>
    <x:row r="123" ht="38" customHeight="1">
      <x:c r="A123" s="10" t="str">
        <x:v>Subsection</x:v>
      </x:c>
      <x:c r="B123" s="10" t="str">
        <x:v>/admin</x:v>
      </x:c>
      <x:c r="C123" s="10" t="str">
        <x:v>global search</x:v>
      </x:c>
      <x:c r="D123" s="10" t="str">
        <x:v>Intended permitted role</x:v>
      </x:c>
      <x:c r="E123" s="11" t="str">
        <x:v>Candidate inventory; confirm visible controls</x:v>
      </x:c>
      <x:c r="F123" s="10" t="str">
        <x:v>staff-navigation + workspace components</x:v>
      </x:c>
      <x:c r="G123" s="11" t="str"/>
      <x:c r="H123" s="11" t="str">
        <x:v>Relevant canonical services; verify during review</x:v>
      </x:c>
      <x:c r="I123" s="11" t="str">
        <x:v>QA-0520 to QA-0522</x:v>
      </x:c>
      <x:c r="J123" s="11" t="str">
        <x:v>Not reviewed</x:v>
      </x:c>
      <x:c r="K123" s="11" t="str">
        <x:v>Add exact dialog/button/action test IDs during inventory walk.</x:v>
      </x:c>
    </x:row>
    <x:row r="124" ht="38" customHeight="1">
      <x:c r="A124" s="10" t="str">
        <x:v>Subsection</x:v>
      </x:c>
      <x:c r="B124" s="10" t="str">
        <x:v>/admin</x:v>
      </x:c>
      <x:c r="C124" s="10" t="str">
        <x:v>worker diagnostics</x:v>
      </x:c>
      <x:c r="D124" s="10" t="str">
        <x:v>Intended permitted role</x:v>
      </x:c>
      <x:c r="E124" s="11" t="str">
        <x:v>Candidate inventory; confirm visible controls</x:v>
      </x:c>
      <x:c r="F124" s="10" t="str">
        <x:v>staff-navigation + workspace components</x:v>
      </x:c>
      <x:c r="G124" s="11" t="str"/>
      <x:c r="H124" s="11" t="str">
        <x:v>Relevant canonical services; verify during review</x:v>
      </x:c>
      <x:c r="I124" s="11" t="str">
        <x:v>QA-0520 to QA-0522</x:v>
      </x:c>
      <x:c r="J124" s="11" t="str">
        <x:v>Not reviewed</x:v>
      </x:c>
      <x:c r="K124" s="11" t="str">
        <x:v>Add exact dialog/button/action test IDs during inventory walk.</x:v>
      </x:c>
    </x:row>
    <x:row r="125" ht="38" customHeight="1">
      <x:c r="A125" s="10" t="str">
        <x:v>Subsection</x:v>
      </x:c>
      <x:c r="B125" s="10" t="str">
        <x:v>/admin/workspaces/members</x:v>
      </x:c>
      <x:c r="C125" s="10" t="str">
        <x:v>Member register</x:v>
      </x:c>
      <x:c r="D125" s="10" t="str">
        <x:v>Intended permitted role</x:v>
      </x:c>
      <x:c r="E125" s="11" t="str">
        <x:v>Candidate inventory; confirm visible controls</x:v>
      </x:c>
      <x:c r="F125" s="10" t="str">
        <x:v>staff-navigation + workspace components</x:v>
      </x:c>
      <x:c r="G125" s="11" t="str"/>
      <x:c r="H125" s="11" t="str">
        <x:v>Relevant canonical services; verify during review</x:v>
      </x:c>
      <x:c r="I125" s="11" t="str">
        <x:v>QA-0523 to QA-0525</x:v>
      </x:c>
      <x:c r="J125" s="11" t="str">
        <x:v>Not reviewed</x:v>
      </x:c>
      <x:c r="K125" s="11" t="str">
        <x:v>Add exact dialog/button/action test IDs during inventory walk.</x:v>
      </x:c>
    </x:row>
    <x:row r="126" ht="38" customHeight="1">
      <x:c r="A126" s="10" t="str">
        <x:v>Subsection</x:v>
      </x:c>
      <x:c r="B126" s="10" t="str">
        <x:v>/admin/workspaces/members</x:v>
      </x:c>
      <x:c r="C126" s="10" t="str">
        <x:v>account directory</x:v>
      </x:c>
      <x:c r="D126" s="10" t="str">
        <x:v>Intended permitted role</x:v>
      </x:c>
      <x:c r="E126" s="11" t="str">
        <x:v>Candidate inventory; confirm visible controls</x:v>
      </x:c>
      <x:c r="F126" s="10" t="str">
        <x:v>staff-navigation + workspace components</x:v>
      </x:c>
      <x:c r="G126" s="11" t="str"/>
      <x:c r="H126" s="11" t="str">
        <x:v>Relevant canonical services; verify during review</x:v>
      </x:c>
      <x:c r="I126" s="11" t="str">
        <x:v>QA-0523 to QA-0525</x:v>
      </x:c>
      <x:c r="J126" s="11" t="str">
        <x:v>Not reviewed</x:v>
      </x:c>
      <x:c r="K126" s="11" t="str">
        <x:v>Add exact dialog/button/action test IDs during inventory walk.</x:v>
      </x:c>
    </x:row>
    <x:row r="127" ht="38" customHeight="1">
      <x:c r="A127" s="10" t="str">
        <x:v>Subsection</x:v>
      </x:c>
      <x:c r="B127" s="10" t="str">
        <x:v>/admin/workspaces/members</x:v>
      </x:c>
      <x:c r="C127" s="10" t="str">
        <x:v>search</x:v>
      </x:c>
      <x:c r="D127" s="10" t="str">
        <x:v>Intended permitted role</x:v>
      </x:c>
      <x:c r="E127" s="11" t="str">
        <x:v>Candidate inventory; confirm visible controls</x:v>
      </x:c>
      <x:c r="F127" s="10" t="str">
        <x:v>staff-navigation + workspace components</x:v>
      </x:c>
      <x:c r="G127" s="11" t="str"/>
      <x:c r="H127" s="11" t="str">
        <x:v>Relevant canonical services; verify during review</x:v>
      </x:c>
      <x:c r="I127" s="11" t="str">
        <x:v>QA-0523 to QA-0525</x:v>
      </x:c>
      <x:c r="J127" s="11" t="str">
        <x:v>Not reviewed</x:v>
      </x:c>
      <x:c r="K127" s="11" t="str">
        <x:v>Add exact dialog/button/action test IDs during inventory walk.</x:v>
      </x:c>
    </x:row>
    <x:row r="128" ht="38" customHeight="1">
      <x:c r="A128" s="10" t="str">
        <x:v>Subsection</x:v>
      </x:c>
      <x:c r="B128" s="10" t="str">
        <x:v>/admin/workspaces/members</x:v>
      </x:c>
      <x:c r="C128" s="10" t="str">
        <x:v>record preview</x:v>
      </x:c>
      <x:c r="D128" s="10" t="str">
        <x:v>Intended permitted role</x:v>
      </x:c>
      <x:c r="E128" s="11" t="str">
        <x:v>Candidate inventory; confirm visible controls</x:v>
      </x:c>
      <x:c r="F128" s="10" t="str">
        <x:v>staff-navigation + workspace components</x:v>
      </x:c>
      <x:c r="G128" s="11" t="str"/>
      <x:c r="H128" s="11" t="str">
        <x:v>Relevant canonical services; verify during review</x:v>
      </x:c>
      <x:c r="I128" s="11" t="str">
        <x:v>QA-0523 to QA-0525</x:v>
      </x:c>
      <x:c r="J128" s="11" t="str">
        <x:v>Not reviewed</x:v>
      </x:c>
      <x:c r="K128" s="11" t="str">
        <x:v>Add exact dialog/button/action test IDs during inventory walk.</x:v>
      </x:c>
    </x:row>
    <x:row r="129" ht="38" customHeight="1">
      <x:c r="A129" s="10" t="str">
        <x:v>Subsection</x:v>
      </x:c>
      <x:c r="B129" s="10" t="str">
        <x:v>/admin/workspaces/members</x:v>
      </x:c>
      <x:c r="C129" s="10" t="str">
        <x:v>filters</x:v>
      </x:c>
      <x:c r="D129" s="10" t="str">
        <x:v>Intended permitted role</x:v>
      </x:c>
      <x:c r="E129" s="11" t="str">
        <x:v>Candidate inventory; confirm visible controls</x:v>
      </x:c>
      <x:c r="F129" s="10" t="str">
        <x:v>staff-navigation + workspace components</x:v>
      </x:c>
      <x:c r="G129" s="11" t="str"/>
      <x:c r="H129" s="11" t="str">
        <x:v>Relevant canonical services; verify during review</x:v>
      </x:c>
      <x:c r="I129" s="11" t="str">
        <x:v>QA-0523 to QA-0525</x:v>
      </x:c>
      <x:c r="J129" s="11" t="str">
        <x:v>Not reviewed</x:v>
      </x:c>
      <x:c r="K129" s="11" t="str">
        <x:v>Add exact dialog/button/action test IDs during inventory walk.</x:v>
      </x:c>
    </x:row>
    <x:row r="130" ht="38" customHeight="1">
      <x:c r="A130" s="10" t="str">
        <x:v>Subsection</x:v>
      </x:c>
      <x:c r="B130" s="10" t="str">
        <x:v>/admin/workspaces/members</x:v>
      </x:c>
      <x:c r="C130" s="10" t="str">
        <x:v>pagination</x:v>
      </x:c>
      <x:c r="D130" s="10" t="str">
        <x:v>Intended permitted role</x:v>
      </x:c>
      <x:c r="E130" s="11" t="str">
        <x:v>Candidate inventory; confirm visible controls</x:v>
      </x:c>
      <x:c r="F130" s="10" t="str">
        <x:v>staff-navigation + workspace components</x:v>
      </x:c>
      <x:c r="G130" s="11" t="str"/>
      <x:c r="H130" s="11" t="str">
        <x:v>Relevant canonical services; verify during review</x:v>
      </x:c>
      <x:c r="I130" s="11" t="str">
        <x:v>QA-0523 to QA-0525</x:v>
      </x:c>
      <x:c r="J130" s="11" t="str">
        <x:v>Not reviewed</x:v>
      </x:c>
      <x:c r="K130" s="11" t="str">
        <x:v>Add exact dialog/button/action test IDs during inventory walk.</x:v>
      </x:c>
    </x:row>
    <x:row r="131" ht="38" customHeight="1">
      <x:c r="A131" s="10" t="str">
        <x:v>Subsection</x:v>
      </x:c>
      <x:c r="B131" s="10" t="str">
        <x:v>/admin/workspaces/verification</x:v>
      </x:c>
      <x:c r="C131" s="10" t="str">
        <x:v>Queue</x:v>
      </x:c>
      <x:c r="D131" s="10" t="str">
        <x:v>Intended permitted role</x:v>
      </x:c>
      <x:c r="E131" s="11" t="str">
        <x:v>Candidate inventory; confirm visible controls</x:v>
      </x:c>
      <x:c r="F131" s="10" t="str">
        <x:v>staff-navigation + workspace components</x:v>
      </x:c>
      <x:c r="G131" s="11" t="str"/>
      <x:c r="H131" s="11" t="str">
        <x:v>Relevant canonical services; verify during review</x:v>
      </x:c>
      <x:c r="I131" s="11" t="str">
        <x:v>QA-0526 to QA-0528</x:v>
      </x:c>
      <x:c r="J131" s="11" t="str">
        <x:v>Not reviewed</x:v>
      </x:c>
      <x:c r="K131" s="11" t="str">
        <x:v>Add exact dialog/button/action test IDs during inventory walk.</x:v>
      </x:c>
    </x:row>
    <x:row r="132" ht="38" customHeight="1">
      <x:c r="A132" s="10" t="str">
        <x:v>Subsection</x:v>
      </x:c>
      <x:c r="B132" s="10" t="str">
        <x:v>/admin/workspaces/verification</x:v>
      </x:c>
      <x:c r="C132" s="10" t="str">
        <x:v>application review</x:v>
      </x:c>
      <x:c r="D132" s="10" t="str">
        <x:v>Intended permitted role</x:v>
      </x:c>
      <x:c r="E132" s="11" t="str">
        <x:v>Candidate inventory; confirm visible controls</x:v>
      </x:c>
      <x:c r="F132" s="10" t="str">
        <x:v>staff-navigation + workspace components</x:v>
      </x:c>
      <x:c r="G132" s="11" t="str"/>
      <x:c r="H132" s="11" t="str">
        <x:v>Relevant canonical services; verify during review</x:v>
      </x:c>
      <x:c r="I132" s="11" t="str">
        <x:v>QA-0526 to QA-0528</x:v>
      </x:c>
      <x:c r="J132" s="11" t="str">
        <x:v>Not reviewed</x:v>
      </x:c>
      <x:c r="K132" s="11" t="str">
        <x:v>Add exact dialog/button/action test IDs during inventory walk.</x:v>
      </x:c>
    </x:row>
    <x:row r="133" ht="38" customHeight="1">
      <x:c r="A133" s="10" t="str">
        <x:v>Subsection</x:v>
      </x:c>
      <x:c r="B133" s="10" t="str">
        <x:v>/admin/workspaces/verification</x:v>
      </x:c>
      <x:c r="C133" s="10" t="str">
        <x:v>evidence</x:v>
      </x:c>
      <x:c r="D133" s="10" t="str">
        <x:v>Intended permitted role</x:v>
      </x:c>
      <x:c r="E133" s="11" t="str">
        <x:v>Candidate inventory; confirm visible controls</x:v>
      </x:c>
      <x:c r="F133" s="10" t="str">
        <x:v>staff-navigation + workspace components</x:v>
      </x:c>
      <x:c r="G133" s="11" t="str"/>
      <x:c r="H133" s="11" t="str">
        <x:v>Relevant canonical services; verify during review</x:v>
      </x:c>
      <x:c r="I133" s="11" t="str">
        <x:v>QA-0526 to QA-0528</x:v>
      </x:c>
      <x:c r="J133" s="11" t="str">
        <x:v>Not reviewed</x:v>
      </x:c>
      <x:c r="K133" s="11" t="str">
        <x:v>Add exact dialog/button/action test IDs during inventory walk.</x:v>
      </x:c>
    </x:row>
    <x:row r="134" ht="38" customHeight="1">
      <x:c r="A134" s="10" t="str">
        <x:v>Subsection</x:v>
      </x:c>
      <x:c r="B134" s="10" t="str">
        <x:v>/admin/workspaces/verification</x:v>
      </x:c>
      <x:c r="C134" s="10" t="str">
        <x:v>decision</x:v>
      </x:c>
      <x:c r="D134" s="10" t="str">
        <x:v>Intended permitted role</x:v>
      </x:c>
      <x:c r="E134" s="11" t="str">
        <x:v>Candidate inventory; confirm visible controls</x:v>
      </x:c>
      <x:c r="F134" s="10" t="str">
        <x:v>staff-navigation + workspace components</x:v>
      </x:c>
      <x:c r="G134" s="11" t="str"/>
      <x:c r="H134" s="11" t="str">
        <x:v>Relevant canonical services; verify during review</x:v>
      </x:c>
      <x:c r="I134" s="11" t="str">
        <x:v>QA-0526 to QA-0528</x:v>
      </x:c>
      <x:c r="J134" s="11" t="str">
        <x:v>Not reviewed</x:v>
      </x:c>
      <x:c r="K134" s="11" t="str">
        <x:v>Add exact dialog/button/action test IDs during inventory walk.</x:v>
      </x:c>
    </x:row>
    <x:row r="135" ht="38" customHeight="1">
      <x:c r="A135" s="10" t="str">
        <x:v>Subsection</x:v>
      </x:c>
      <x:c r="B135" s="10" t="str">
        <x:v>/admin/workspaces/verification</x:v>
      </x:c>
      <x:c r="C135" s="10" t="str">
        <x:v>requirements</x:v>
      </x:c>
      <x:c r="D135" s="10" t="str">
        <x:v>Intended permitted role</x:v>
      </x:c>
      <x:c r="E135" s="11" t="str">
        <x:v>Candidate inventory; confirm visible controls</x:v>
      </x:c>
      <x:c r="F135" s="10" t="str">
        <x:v>staff-navigation + workspace components</x:v>
      </x:c>
      <x:c r="G135" s="11" t="str"/>
      <x:c r="H135" s="11" t="str">
        <x:v>Relevant canonical services; verify during review</x:v>
      </x:c>
      <x:c r="I135" s="11" t="str">
        <x:v>QA-0526 to QA-0528</x:v>
      </x:c>
      <x:c r="J135" s="11" t="str">
        <x:v>Not reviewed</x:v>
      </x:c>
      <x:c r="K135" s="11" t="str">
        <x:v>Add exact dialog/button/action test IDs during inventory walk.</x:v>
      </x:c>
    </x:row>
    <x:row r="136" ht="38" customHeight="1">
      <x:c r="A136" s="10" t="str">
        <x:v>Subsection</x:v>
      </x:c>
      <x:c r="B136" s="10" t="str">
        <x:v>/admin/workspaces/verification</x:v>
      </x:c>
      <x:c r="C136" s="10" t="str">
        <x:v>history</x:v>
      </x:c>
      <x:c r="D136" s="10" t="str">
        <x:v>Intended permitted role</x:v>
      </x:c>
      <x:c r="E136" s="11" t="str">
        <x:v>Candidate inventory; confirm visible controls</x:v>
      </x:c>
      <x:c r="F136" s="10" t="str">
        <x:v>staff-navigation + workspace components</x:v>
      </x:c>
      <x:c r="G136" s="11" t="str"/>
      <x:c r="H136" s="11" t="str">
        <x:v>Relevant canonical services; verify during review</x:v>
      </x:c>
      <x:c r="I136" s="11" t="str">
        <x:v>QA-0526 to QA-0528</x:v>
      </x:c>
      <x:c r="J136" s="11" t="str">
        <x:v>Not reviewed</x:v>
      </x:c>
      <x:c r="K136" s="11" t="str">
        <x:v>Add exact dialog/button/action test IDs during inventory walk.</x:v>
      </x:c>
    </x:row>
    <x:row r="137" ht="38" customHeight="1">
      <x:c r="A137" s="10" t="str">
        <x:v>Subsection</x:v>
      </x:c>
      <x:c r="B137" s="10" t="str">
        <x:v>/admin/workspaces/onboarding</x:v>
      </x:c>
      <x:c r="C137" s="10" t="str">
        <x:v>CSV-XLSX mapping</x:v>
      </x:c>
      <x:c r="D137" s="10" t="str">
        <x:v>Intended permitted role</x:v>
      </x:c>
      <x:c r="E137" s="11" t="str">
        <x:v>Candidate inventory; confirm visible controls</x:v>
      </x:c>
      <x:c r="F137" s="10" t="str">
        <x:v>staff-navigation + workspace components</x:v>
      </x:c>
      <x:c r="G137" s="11" t="str"/>
      <x:c r="H137" s="11" t="str">
        <x:v>Relevant canonical services; verify during review</x:v>
      </x:c>
      <x:c r="I137" s="11" t="str">
        <x:v>QA-0529 to QA-0531</x:v>
      </x:c>
      <x:c r="J137" s="11" t="str">
        <x:v>Not reviewed</x:v>
      </x:c>
      <x:c r="K137" s="11" t="str">
        <x:v>Add exact dialog/button/action test IDs during inventory walk.</x:v>
      </x:c>
    </x:row>
    <x:row r="138" ht="38" customHeight="1">
      <x:c r="A138" s="10" t="str">
        <x:v>Subsection</x:v>
      </x:c>
      <x:c r="B138" s="10" t="str">
        <x:v>/admin/workspaces/onboarding</x:v>
      </x:c>
      <x:c r="C138" s="10" t="str">
        <x:v>preview</x:v>
      </x:c>
      <x:c r="D138" s="10" t="str">
        <x:v>Intended permitted role</x:v>
      </x:c>
      <x:c r="E138" s="11" t="str">
        <x:v>Candidate inventory; confirm visible controls</x:v>
      </x:c>
      <x:c r="F138" s="10" t="str">
        <x:v>staff-navigation + workspace components</x:v>
      </x:c>
      <x:c r="G138" s="11" t="str"/>
      <x:c r="H138" s="11" t="str">
        <x:v>Relevant canonical services; verify during review</x:v>
      </x:c>
      <x:c r="I138" s="11" t="str">
        <x:v>QA-0529 to QA-0531</x:v>
      </x:c>
      <x:c r="J138" s="11" t="str">
        <x:v>Not reviewed</x:v>
      </x:c>
      <x:c r="K138" s="11" t="str">
        <x:v>Add exact dialog/button/action test IDs during inventory walk.</x:v>
      </x:c>
    </x:row>
    <x:row r="139" ht="38" customHeight="1">
      <x:c r="A139" s="10" t="str">
        <x:v>Subsection</x:v>
      </x:c>
      <x:c r="B139" s="10" t="str">
        <x:v>/admin/workspaces/onboarding</x:v>
      </x:c>
      <x:c r="C139" s="10" t="str">
        <x:v>import job</x:v>
      </x:c>
      <x:c r="D139" s="10" t="str">
        <x:v>Intended permitted role</x:v>
      </x:c>
      <x:c r="E139" s="11" t="str">
        <x:v>Candidate inventory; confirm visible controls</x:v>
      </x:c>
      <x:c r="F139" s="10" t="str">
        <x:v>staff-navigation + workspace components</x:v>
      </x:c>
      <x:c r="G139" s="11" t="str"/>
      <x:c r="H139" s="11" t="str">
        <x:v>Relevant canonical services; verify during review</x:v>
      </x:c>
      <x:c r="I139" s="11" t="str">
        <x:v>QA-0529 to QA-0531</x:v>
      </x:c>
      <x:c r="J139" s="11" t="str">
        <x:v>Not reviewed</x:v>
      </x:c>
      <x:c r="K139" s="11" t="str">
        <x:v>Add exact dialog/button/action test IDs during inventory walk.</x:v>
      </x:c>
    </x:row>
    <x:row r="140" ht="38" customHeight="1">
      <x:c r="A140" s="10" t="str">
        <x:v>Subsection</x:v>
      </x:c>
      <x:c r="B140" s="10" t="str">
        <x:v>/admin/workspaces/onboarding</x:v>
      </x:c>
      <x:c r="C140" s="10" t="str">
        <x:v>diagnostics</x:v>
      </x:c>
      <x:c r="D140" s="10" t="str">
        <x:v>Intended permitted role</x:v>
      </x:c>
      <x:c r="E140" s="11" t="str">
        <x:v>Candidate inventory; confirm visible controls</x:v>
      </x:c>
      <x:c r="F140" s="10" t="str">
        <x:v>staff-navigation + workspace components</x:v>
      </x:c>
      <x:c r="G140" s="11" t="str"/>
      <x:c r="H140" s="11" t="str">
        <x:v>Relevant canonical services; verify during review</x:v>
      </x:c>
      <x:c r="I140" s="11" t="str">
        <x:v>QA-0529 to QA-0531</x:v>
      </x:c>
      <x:c r="J140" s="11" t="str">
        <x:v>Not reviewed</x:v>
      </x:c>
      <x:c r="K140" s="11" t="str">
        <x:v>Add exact dialog/button/action test IDs during inventory walk.</x:v>
      </x:c>
    </x:row>
    <x:row r="141" ht="38" customHeight="1">
      <x:c r="A141" s="10" t="str">
        <x:v>Subsection</x:v>
      </x:c>
      <x:c r="B141" s="10" t="str">
        <x:v>/admin/workspaces/onboarding</x:v>
      </x:c>
      <x:c r="C141" s="10" t="str">
        <x:v>invitation holds</x:v>
      </x:c>
      <x:c r="D141" s="10" t="str">
        <x:v>Intended permitted role</x:v>
      </x:c>
      <x:c r="E141" s="11" t="str">
        <x:v>Candidate inventory; confirm visible controls</x:v>
      </x:c>
      <x:c r="F141" s="10" t="str">
        <x:v>staff-navigation + workspace components</x:v>
      </x:c>
      <x:c r="G141" s="11" t="str"/>
      <x:c r="H141" s="11" t="str">
        <x:v>Relevant canonical services; verify during review</x:v>
      </x:c>
      <x:c r="I141" s="11" t="str">
        <x:v>QA-0529 to QA-0531</x:v>
      </x:c>
      <x:c r="J141" s="11" t="str">
        <x:v>Not reviewed</x:v>
      </x:c>
      <x:c r="K141" s="11" t="str">
        <x:v>Add exact dialog/button/action test IDs during inventory walk.</x:v>
      </x:c>
    </x:row>
    <x:row r="142" ht="38" customHeight="1">
      <x:c r="A142" s="10" t="str">
        <x:v>Subsection</x:v>
      </x:c>
      <x:c r="B142" s="10" t="str">
        <x:v>/admin/workspaces/crm</x:v>
      </x:c>
      <x:c r="C142" s="10" t="str">
        <x:v>Inbox list</x:v>
      </x:c>
      <x:c r="D142" s="10" t="str">
        <x:v>Intended permitted role</x:v>
      </x:c>
      <x:c r="E142" s="11" t="str">
        <x:v>Candidate inventory; confirm visible controls</x:v>
      </x:c>
      <x:c r="F142" s="10" t="str">
        <x:v>staff-navigation + workspace components</x:v>
      </x:c>
      <x:c r="G142" s="11" t="str"/>
      <x:c r="H142" s="11" t="str">
        <x:v>Relevant canonical services; verify during review</x:v>
      </x:c>
      <x:c r="I142" s="11" t="str">
        <x:v>QA-0532 to QA-0534</x:v>
      </x:c>
      <x:c r="J142" s="11" t="str">
        <x:v>Not reviewed</x:v>
      </x:c>
      <x:c r="K142" s="11" t="str">
        <x:v>Add exact dialog/button/action test IDs during inventory walk.</x:v>
      </x:c>
    </x:row>
    <x:row r="143" ht="38" customHeight="1">
      <x:c r="A143" s="10" t="str">
        <x:v>Subsection</x:v>
      </x:c>
      <x:c r="B143" s="10" t="str">
        <x:v>/admin/workspaces/crm</x:v>
      </x:c>
      <x:c r="C143" s="10" t="str">
        <x:v>inquiry details</x:v>
      </x:c>
      <x:c r="D143" s="10" t="str">
        <x:v>Intended permitted role</x:v>
      </x:c>
      <x:c r="E143" s="11" t="str">
        <x:v>Candidate inventory; confirm visible controls</x:v>
      </x:c>
      <x:c r="F143" s="10" t="str">
        <x:v>staff-navigation + workspace components</x:v>
      </x:c>
      <x:c r="G143" s="11" t="str"/>
      <x:c r="H143" s="11" t="str">
        <x:v>Relevant canonical services; verify during review</x:v>
      </x:c>
      <x:c r="I143" s="11" t="str">
        <x:v>QA-0532 to QA-0534</x:v>
      </x:c>
      <x:c r="J143" s="11" t="str">
        <x:v>Not reviewed</x:v>
      </x:c>
      <x:c r="K143" s="11" t="str">
        <x:v>Add exact dialog/button/action test IDs during inventory walk.</x:v>
      </x:c>
    </x:row>
    <x:row r="144" ht="38" customHeight="1">
      <x:c r="A144" s="10" t="str">
        <x:v>Subsection</x:v>
      </x:c>
      <x:c r="B144" s="10" t="str">
        <x:v>/admin/workspaces/crm</x:v>
      </x:c>
      <x:c r="C144" s="10" t="str">
        <x:v>notes</x:v>
      </x:c>
      <x:c r="D144" s="10" t="str">
        <x:v>Intended permitted role</x:v>
      </x:c>
      <x:c r="E144" s="11" t="str">
        <x:v>Candidate inventory; confirm visible controls</x:v>
      </x:c>
      <x:c r="F144" s="10" t="str">
        <x:v>staff-navigation + workspace components</x:v>
      </x:c>
      <x:c r="G144" s="11" t="str"/>
      <x:c r="H144" s="11" t="str">
        <x:v>Relevant canonical services; verify during review</x:v>
      </x:c>
      <x:c r="I144" s="11" t="str">
        <x:v>QA-0532 to QA-0534</x:v>
      </x:c>
      <x:c r="J144" s="11" t="str">
        <x:v>Not reviewed</x:v>
      </x:c>
      <x:c r="K144" s="11" t="str">
        <x:v>Add exact dialog/button/action test IDs during inventory walk.</x:v>
      </x:c>
    </x:row>
    <x:row r="145" ht="38" customHeight="1">
      <x:c r="A145" s="10" t="str">
        <x:v>Subsection</x:v>
      </x:c>
      <x:c r="B145" s="10" t="str">
        <x:v>/admin/workspaces/crm</x:v>
      </x:c>
      <x:c r="C145" s="10" t="str">
        <x:v>assignment</x:v>
      </x:c>
      <x:c r="D145" s="10" t="str">
        <x:v>Intended permitted role</x:v>
      </x:c>
      <x:c r="E145" s="11" t="str">
        <x:v>Candidate inventory; confirm visible controls</x:v>
      </x:c>
      <x:c r="F145" s="10" t="str">
        <x:v>staff-navigation + workspace components</x:v>
      </x:c>
      <x:c r="G145" s="11" t="str"/>
      <x:c r="H145" s="11" t="str">
        <x:v>Relevant canonical services; verify during review</x:v>
      </x:c>
      <x:c r="I145" s="11" t="str">
        <x:v>QA-0532 to QA-0534</x:v>
      </x:c>
      <x:c r="J145" s="11" t="str">
        <x:v>Not reviewed</x:v>
      </x:c>
      <x:c r="K145" s="11" t="str">
        <x:v>Add exact dialog/button/action test IDs during inventory walk.</x:v>
      </x:c>
    </x:row>
    <x:row r="146" ht="38" customHeight="1">
      <x:c r="A146" s="10" t="str">
        <x:v>Subsection</x:v>
      </x:c>
      <x:c r="B146" s="10" t="str">
        <x:v>/admin/workspaces/crm</x:v>
      </x:c>
      <x:c r="C146" s="10" t="str">
        <x:v>tags</x:v>
      </x:c>
      <x:c r="D146" s="10" t="str">
        <x:v>Intended permitted role</x:v>
      </x:c>
      <x:c r="E146" s="11" t="str">
        <x:v>Candidate inventory; confirm visible controls</x:v>
      </x:c>
      <x:c r="F146" s="10" t="str">
        <x:v>staff-navigation + workspace components</x:v>
      </x:c>
      <x:c r="G146" s="11" t="str"/>
      <x:c r="H146" s="11" t="str">
        <x:v>Relevant canonical services; verify during review</x:v>
      </x:c>
      <x:c r="I146" s="11" t="str">
        <x:v>QA-0532 to QA-0534</x:v>
      </x:c>
      <x:c r="J146" s="11" t="str">
        <x:v>Not reviewed</x:v>
      </x:c>
      <x:c r="K146" s="11" t="str">
        <x:v>Add exact dialog/button/action test IDs during inventory walk.</x:v>
      </x:c>
    </x:row>
    <x:row r="147" ht="38" customHeight="1">
      <x:c r="A147" s="10" t="str">
        <x:v>Subsection</x:v>
      </x:c>
      <x:c r="B147" s="10" t="str">
        <x:v>/admin/workspaces/crm</x:v>
      </x:c>
      <x:c r="C147" s="10" t="str">
        <x:v>follow-up</x:v>
      </x:c>
      <x:c r="D147" s="10" t="str">
        <x:v>Intended permitted role</x:v>
      </x:c>
      <x:c r="E147" s="11" t="str">
        <x:v>Candidate inventory; confirm visible controls</x:v>
      </x:c>
      <x:c r="F147" s="10" t="str">
        <x:v>staff-navigation + workspace components</x:v>
      </x:c>
      <x:c r="G147" s="11" t="str"/>
      <x:c r="H147" s="11" t="str">
        <x:v>Relevant canonical services; verify during review</x:v>
      </x:c>
      <x:c r="I147" s="11" t="str">
        <x:v>QA-0532 to QA-0534</x:v>
      </x:c>
      <x:c r="J147" s="11" t="str">
        <x:v>Not reviewed</x:v>
      </x:c>
      <x:c r="K147" s="11" t="str">
        <x:v>Add exact dialog/button/action test IDs during inventory walk.</x:v>
      </x:c>
    </x:row>
    <x:row r="148" ht="38" customHeight="1">
      <x:c r="A148" s="10" t="str">
        <x:v>Subsection</x:v>
      </x:c>
      <x:c r="B148" s="10" t="str">
        <x:v>/admin/workspaces/crm</x:v>
      </x:c>
      <x:c r="C148" s="10" t="str">
        <x:v>history</x:v>
      </x:c>
      <x:c r="D148" s="10" t="str">
        <x:v>Intended permitted role</x:v>
      </x:c>
      <x:c r="E148" s="11" t="str">
        <x:v>Candidate inventory; confirm visible controls</x:v>
      </x:c>
      <x:c r="F148" s="10" t="str">
        <x:v>staff-navigation + workspace components</x:v>
      </x:c>
      <x:c r="G148" s="11" t="str"/>
      <x:c r="H148" s="11" t="str">
        <x:v>Relevant canonical services; verify during review</x:v>
      </x:c>
      <x:c r="I148" s="11" t="str">
        <x:v>QA-0532 to QA-0534</x:v>
      </x:c>
      <x:c r="J148" s="11" t="str">
        <x:v>Not reviewed</x:v>
      </x:c>
      <x:c r="K148" s="11" t="str">
        <x:v>Add exact dialog/button/action test IDs during inventory walk.</x:v>
      </x:c>
    </x:row>
    <x:row r="149" ht="38" customHeight="1">
      <x:c r="A149" s="10" t="str">
        <x:v>Subsection</x:v>
      </x:c>
      <x:c r="B149" s="10" t="str">
        <x:v>/admin/workspaces/communications</x:v>
      </x:c>
      <x:c r="C149" s="10" t="str">
        <x:v>Campaigns</x:v>
      </x:c>
      <x:c r="D149" s="10" t="str">
        <x:v>Intended permitted role</x:v>
      </x:c>
      <x:c r="E149" s="11" t="str">
        <x:v>Candidate inventory; confirm visible controls</x:v>
      </x:c>
      <x:c r="F149" s="10" t="str">
        <x:v>staff-navigation + workspace components</x:v>
      </x:c>
      <x:c r="G149" s="11" t="str"/>
      <x:c r="H149" s="11" t="str">
        <x:v>Relevant canonical services; verify during review</x:v>
      </x:c>
      <x:c r="I149" s="11" t="str">
        <x:v>QA-0535 to QA-0537</x:v>
      </x:c>
      <x:c r="J149" s="11" t="str">
        <x:v>Not reviewed</x:v>
      </x:c>
      <x:c r="K149" s="11" t="str">
        <x:v>Add exact dialog/button/action test IDs during inventory walk.</x:v>
      </x:c>
    </x:row>
    <x:row r="150" ht="38" customHeight="1">
      <x:c r="A150" s="10" t="str">
        <x:v>Subsection</x:v>
      </x:c>
      <x:c r="B150" s="10" t="str">
        <x:v>/admin/workspaces/communications</x:v>
      </x:c>
      <x:c r="C150" s="10" t="str">
        <x:v>email templates</x:v>
      </x:c>
      <x:c r="D150" s="10" t="str">
        <x:v>Intended permitted role</x:v>
      </x:c>
      <x:c r="E150" s="11" t="str">
        <x:v>Candidate inventory; confirm visible controls</x:v>
      </x:c>
      <x:c r="F150" s="10" t="str">
        <x:v>staff-navigation + workspace components</x:v>
      </x:c>
      <x:c r="G150" s="11" t="str"/>
      <x:c r="H150" s="11" t="str">
        <x:v>Relevant canonical services; verify during review</x:v>
      </x:c>
      <x:c r="I150" s="11" t="str">
        <x:v>QA-0535 to QA-0537</x:v>
      </x:c>
      <x:c r="J150" s="11" t="str">
        <x:v>Not reviewed</x:v>
      </x:c>
      <x:c r="K150" s="11" t="str">
        <x:v>Add exact dialog/button/action test IDs during inventory walk.</x:v>
      </x:c>
    </x:row>
    <x:row r="151" ht="38" customHeight="1">
      <x:c r="A151" s="10" t="str">
        <x:v>Subsection</x:v>
      </x:c>
      <x:c r="B151" s="10" t="str">
        <x:v>/admin/workspaces/communications</x:v>
      </x:c>
      <x:c r="C151" s="10" t="str">
        <x:v>deliveries</x:v>
      </x:c>
      <x:c r="D151" s="10" t="str">
        <x:v>Intended permitted role</x:v>
      </x:c>
      <x:c r="E151" s="11" t="str">
        <x:v>Candidate inventory; confirm visible controls</x:v>
      </x:c>
      <x:c r="F151" s="10" t="str">
        <x:v>staff-navigation + workspace components</x:v>
      </x:c>
      <x:c r="G151" s="11" t="str"/>
      <x:c r="H151" s="11" t="str">
        <x:v>Relevant canonical services; verify during review</x:v>
      </x:c>
      <x:c r="I151" s="11" t="str">
        <x:v>QA-0535 to QA-0537</x:v>
      </x:c>
      <x:c r="J151" s="11" t="str">
        <x:v>Not reviewed</x:v>
      </x:c>
      <x:c r="K151" s="11" t="str">
        <x:v>Add exact dialog/button/action test IDs during inventory walk.</x:v>
      </x:c>
    </x:row>
    <x:row r="152" ht="38" customHeight="1">
      <x:c r="A152" s="10" t="str">
        <x:v>Subsection</x:v>
      </x:c>
      <x:c r="B152" s="10" t="str">
        <x:v>/admin/workspaces/communications</x:v>
      </x:c>
      <x:c r="C152" s="10" t="str">
        <x:v>inbox</x:v>
      </x:c>
      <x:c r="D152" s="10" t="str">
        <x:v>Intended permitted role</x:v>
      </x:c>
      <x:c r="E152" s="11" t="str">
        <x:v>Candidate inventory; confirm visible controls</x:v>
      </x:c>
      <x:c r="F152" s="10" t="str">
        <x:v>staff-navigation + workspace components</x:v>
      </x:c>
      <x:c r="G152" s="11" t="str"/>
      <x:c r="H152" s="11" t="str">
        <x:v>Relevant canonical services; verify during review</x:v>
      </x:c>
      <x:c r="I152" s="11" t="str">
        <x:v>QA-0535 to QA-0537</x:v>
      </x:c>
      <x:c r="J152" s="11" t="str">
        <x:v>Not reviewed</x:v>
      </x:c>
      <x:c r="K152" s="11" t="str">
        <x:v>Add exact dialog/button/action test IDs during inventory walk.</x:v>
      </x:c>
    </x:row>
    <x:row r="153" ht="38" customHeight="1">
      <x:c r="A153" s="10" t="str">
        <x:v>Subsection</x:v>
      </x:c>
      <x:c r="B153" s="10" t="str">
        <x:v>/admin/workspaces/communications</x:v>
      </x:c>
      <x:c r="C153" s="10" t="str">
        <x:v>replies</x:v>
      </x:c>
      <x:c r="D153" s="10" t="str">
        <x:v>Intended permitted role</x:v>
      </x:c>
      <x:c r="E153" s="11" t="str">
        <x:v>Candidate inventory; confirm visible controls</x:v>
      </x:c>
      <x:c r="F153" s="10" t="str">
        <x:v>staff-navigation + workspace components</x:v>
      </x:c>
      <x:c r="G153" s="11" t="str"/>
      <x:c r="H153" s="11" t="str">
        <x:v>Relevant canonical services; verify during review</x:v>
      </x:c>
      <x:c r="I153" s="11" t="str">
        <x:v>QA-0535 to QA-0537</x:v>
      </x:c>
      <x:c r="J153" s="11" t="str">
        <x:v>Not reviewed</x:v>
      </x:c>
      <x:c r="K153" s="11" t="str">
        <x:v>Add exact dialog/button/action test IDs during inventory walk.</x:v>
      </x:c>
    </x:row>
    <x:row r="154" ht="38" customHeight="1">
      <x:c r="A154" s="10" t="str">
        <x:v>Subsection</x:v>
      </x:c>
      <x:c r="B154" s="10" t="str">
        <x:v>/admin/workspaces/communications</x:v>
      </x:c>
      <x:c r="C154" s="10" t="str">
        <x:v>invitation release where permitted</x:v>
      </x:c>
      <x:c r="D154" s="10" t="str">
        <x:v>Intended permitted role</x:v>
      </x:c>
      <x:c r="E154" s="11" t="str">
        <x:v>Candidate inventory; confirm visible controls</x:v>
      </x:c>
      <x:c r="F154" s="10" t="str">
        <x:v>staff-navigation + workspace components</x:v>
      </x:c>
      <x:c r="G154" s="11" t="str"/>
      <x:c r="H154" s="11" t="str">
        <x:v>Relevant canonical services; verify during review</x:v>
      </x:c>
      <x:c r="I154" s="11" t="str">
        <x:v>QA-0535 to QA-0537</x:v>
      </x:c>
      <x:c r="J154" s="11" t="str">
        <x:v>Not reviewed</x:v>
      </x:c>
      <x:c r="K154" s="11" t="str">
        <x:v>Add exact dialog/button/action test IDs during inventory walk.</x:v>
      </x:c>
    </x:row>
    <x:row r="155" ht="38" customHeight="1">
      <x:c r="A155" s="10" t="str">
        <x:v>Subsection</x:v>
      </x:c>
      <x:c r="B155" s="10" t="str">
        <x:v>/admin/workspaces/events</x:v>
      </x:c>
      <x:c r="C155" s="10" t="str">
        <x:v>Event editor</x:v>
      </x:c>
      <x:c r="D155" s="10" t="str">
        <x:v>Intended permitted role</x:v>
      </x:c>
      <x:c r="E155" s="11" t="str">
        <x:v>Candidate inventory; confirm visible controls</x:v>
      </x:c>
      <x:c r="F155" s="10" t="str">
        <x:v>staff-navigation + workspace components</x:v>
      </x:c>
      <x:c r="G155" s="11" t="str"/>
      <x:c r="H155" s="11" t="str">
        <x:v>Relevant canonical services; verify during review</x:v>
      </x:c>
      <x:c r="I155" s="11" t="str">
        <x:v>QA-0538 to QA-0540</x:v>
      </x:c>
      <x:c r="J155" s="11" t="str">
        <x:v>Not reviewed</x:v>
      </x:c>
      <x:c r="K155" s="11" t="str">
        <x:v>Add exact dialog/button/action test IDs during inventory walk.</x:v>
      </x:c>
    </x:row>
    <x:row r="156" ht="38" customHeight="1">
      <x:c r="A156" s="10" t="str">
        <x:v>Subsection</x:v>
      </x:c>
      <x:c r="B156" s="10" t="str">
        <x:v>/admin/workspaces/events</x:v>
      </x:c>
      <x:c r="C156" s="10" t="str">
        <x:v>speakers</x:v>
      </x:c>
      <x:c r="D156" s="10" t="str">
        <x:v>Intended permitted role</x:v>
      </x:c>
      <x:c r="E156" s="11" t="str">
        <x:v>Candidate inventory; confirm visible controls</x:v>
      </x:c>
      <x:c r="F156" s="10" t="str">
        <x:v>staff-navigation + workspace components</x:v>
      </x:c>
      <x:c r="G156" s="11" t="str"/>
      <x:c r="H156" s="11" t="str">
        <x:v>Relevant canonical services; verify during review</x:v>
      </x:c>
      <x:c r="I156" s="11" t="str">
        <x:v>QA-0538 to QA-0540</x:v>
      </x:c>
      <x:c r="J156" s="11" t="str">
        <x:v>Not reviewed</x:v>
      </x:c>
      <x:c r="K156" s="11" t="str">
        <x:v>Add exact dialog/button/action test IDs during inventory walk.</x:v>
      </x:c>
    </x:row>
    <x:row r="157" ht="38" customHeight="1">
      <x:c r="A157" s="10" t="str">
        <x:v>Subsection</x:v>
      </x:c>
      <x:c r="B157" s="10" t="str">
        <x:v>/admin/workspaces/events</x:v>
      </x:c>
      <x:c r="C157" s="10" t="str">
        <x:v>booking</x:v>
      </x:c>
      <x:c r="D157" s="10" t="str">
        <x:v>Intended permitted role</x:v>
      </x:c>
      <x:c r="E157" s="11" t="str">
        <x:v>Candidate inventory; confirm visible controls</x:v>
      </x:c>
      <x:c r="F157" s="10" t="str">
        <x:v>staff-navigation + workspace components</x:v>
      </x:c>
      <x:c r="G157" s="11" t="str"/>
      <x:c r="H157" s="11" t="str">
        <x:v>Relevant canonical services; verify during review</x:v>
      </x:c>
      <x:c r="I157" s="11" t="str">
        <x:v>QA-0538 to QA-0540</x:v>
      </x:c>
      <x:c r="J157" s="11" t="str">
        <x:v>Not reviewed</x:v>
      </x:c>
      <x:c r="K157" s="11" t="str">
        <x:v>Add exact dialog/button/action test IDs during inventory walk.</x:v>
      </x:c>
    </x:row>
    <x:row r="158" ht="38" customHeight="1">
      <x:c r="A158" s="10" t="str">
        <x:v>Subsection</x:v>
      </x:c>
      <x:c r="B158" s="10" t="str">
        <x:v>/admin/workspaces/events</x:v>
      </x:c>
      <x:c r="C158" s="10" t="str">
        <x:v>registrations</x:v>
      </x:c>
      <x:c r="D158" s="10" t="str">
        <x:v>Intended permitted role</x:v>
      </x:c>
      <x:c r="E158" s="11" t="str">
        <x:v>Candidate inventory; confirm visible controls</x:v>
      </x:c>
      <x:c r="F158" s="10" t="str">
        <x:v>staff-navigation + workspace components</x:v>
      </x:c>
      <x:c r="G158" s="11" t="str"/>
      <x:c r="H158" s="11" t="str">
        <x:v>Relevant canonical services; verify during review</x:v>
      </x:c>
      <x:c r="I158" s="11" t="str">
        <x:v>QA-0538 to QA-0540</x:v>
      </x:c>
      <x:c r="J158" s="11" t="str">
        <x:v>Not reviewed</x:v>
      </x:c>
      <x:c r="K158" s="11" t="str">
        <x:v>Add exact dialog/button/action test IDs during inventory walk.</x:v>
      </x:c>
    </x:row>
    <x:row r="159" ht="38" customHeight="1">
      <x:c r="A159" s="10" t="str">
        <x:v>Subsection</x:v>
      </x:c>
      <x:c r="B159" s="10" t="str">
        <x:v>/admin/workspaces/events</x:v>
      </x:c>
      <x:c r="C159" s="10" t="str">
        <x:v>payments</x:v>
      </x:c>
      <x:c r="D159" s="10" t="str">
        <x:v>Intended permitted role</x:v>
      </x:c>
      <x:c r="E159" s="11" t="str">
        <x:v>Candidate inventory; confirm visible controls</x:v>
      </x:c>
      <x:c r="F159" s="10" t="str">
        <x:v>staff-navigation + workspace components</x:v>
      </x:c>
      <x:c r="G159" s="11" t="str"/>
      <x:c r="H159" s="11" t="str">
        <x:v>Relevant canonical services; verify during review</x:v>
      </x:c>
      <x:c r="I159" s="11" t="str">
        <x:v>QA-0538 to QA-0540</x:v>
      </x:c>
      <x:c r="J159" s="11" t="str">
        <x:v>Not reviewed</x:v>
      </x:c>
      <x:c r="K159" s="11" t="str">
        <x:v>Add exact dialog/button/action test IDs during inventory walk.</x:v>
      </x:c>
    </x:row>
    <x:row r="160" ht="38" customHeight="1">
      <x:c r="A160" s="10" t="str">
        <x:v>Subsection</x:v>
      </x:c>
      <x:c r="B160" s="10" t="str">
        <x:v>/admin/workspaces/events</x:v>
      </x:c>
      <x:c r="C160" s="10" t="str">
        <x:v>attendance</x:v>
      </x:c>
      <x:c r="D160" s="10" t="str">
        <x:v>Intended permitted role</x:v>
      </x:c>
      <x:c r="E160" s="11" t="str">
        <x:v>Candidate inventory; confirm visible controls</x:v>
      </x:c>
      <x:c r="F160" s="10" t="str">
        <x:v>staff-navigation + workspace components</x:v>
      </x:c>
      <x:c r="G160" s="11" t="str"/>
      <x:c r="H160" s="11" t="str">
        <x:v>Relevant canonical services; verify during review</x:v>
      </x:c>
      <x:c r="I160" s="11" t="str">
        <x:v>QA-0538 to QA-0540</x:v>
      </x:c>
      <x:c r="J160" s="11" t="str">
        <x:v>Not reviewed</x:v>
      </x:c>
      <x:c r="K160" s="11" t="str">
        <x:v>Add exact dialog/button/action test IDs during inventory walk.</x:v>
      </x:c>
    </x:row>
    <x:row r="161" ht="38" customHeight="1">
      <x:c r="A161" s="10" t="str">
        <x:v>Subsection</x:v>
      </x:c>
      <x:c r="B161" s="10" t="str">
        <x:v>/admin/workspaces/events</x:v>
      </x:c>
      <x:c r="C161" s="10" t="str">
        <x:v>financials</x:v>
      </x:c>
      <x:c r="D161" s="10" t="str">
        <x:v>Intended permitted role</x:v>
      </x:c>
      <x:c r="E161" s="11" t="str">
        <x:v>Candidate inventory; confirm visible controls</x:v>
      </x:c>
      <x:c r="F161" s="10" t="str">
        <x:v>staff-navigation + workspace components</x:v>
      </x:c>
      <x:c r="G161" s="11" t="str"/>
      <x:c r="H161" s="11" t="str">
        <x:v>Relevant canonical services; verify during review</x:v>
      </x:c>
      <x:c r="I161" s="11" t="str">
        <x:v>QA-0538 to QA-0540</x:v>
      </x:c>
      <x:c r="J161" s="11" t="str">
        <x:v>Not reviewed</x:v>
      </x:c>
      <x:c r="K161" s="11" t="str">
        <x:v>Add exact dialog/button/action test IDs during inventory walk.</x:v>
      </x:c>
    </x:row>
    <x:row r="162" ht="38" customHeight="1">
      <x:c r="A162" s="10" t="str">
        <x:v>Subsection</x:v>
      </x:c>
      <x:c r="B162" s="10" t="str">
        <x:v>/admin/workspaces/events</x:v>
      </x:c>
      <x:c r="C162" s="10" t="str">
        <x:v>expenses</x:v>
      </x:c>
      <x:c r="D162" s="10" t="str">
        <x:v>Intended permitted role</x:v>
      </x:c>
      <x:c r="E162" s="11" t="str">
        <x:v>Candidate inventory; confirm visible controls</x:v>
      </x:c>
      <x:c r="F162" s="10" t="str">
        <x:v>staff-navigation + workspace components</x:v>
      </x:c>
      <x:c r="G162" s="11" t="str"/>
      <x:c r="H162" s="11" t="str">
        <x:v>Relevant canonical services; verify during review</x:v>
      </x:c>
      <x:c r="I162" s="11" t="str">
        <x:v>QA-0538 to QA-0540</x:v>
      </x:c>
      <x:c r="J162" s="11" t="str">
        <x:v>Not reviewed</x:v>
      </x:c>
      <x:c r="K162" s="11" t="str">
        <x:v>Add exact dialog/button/action test IDs during inventory walk.</x:v>
      </x:c>
    </x:row>
    <x:row r="163" ht="38" customHeight="1">
      <x:c r="A163" s="10" t="str">
        <x:v>Subsection</x:v>
      </x:c>
      <x:c r="B163" s="10" t="str">
        <x:v>/admin/workspaces/events</x:v>
      </x:c>
      <x:c r="C163" s="10" t="str">
        <x:v>resources</x:v>
      </x:c>
      <x:c r="D163" s="10" t="str">
        <x:v>Intended permitted role</x:v>
      </x:c>
      <x:c r="E163" s="11" t="str">
        <x:v>Candidate inventory; confirm visible controls</x:v>
      </x:c>
      <x:c r="F163" s="10" t="str">
        <x:v>staff-navigation + workspace components</x:v>
      </x:c>
      <x:c r="G163" s="11" t="str"/>
      <x:c r="H163" s="11" t="str">
        <x:v>Relevant canonical services; verify during review</x:v>
      </x:c>
      <x:c r="I163" s="11" t="str">
        <x:v>QA-0538 to QA-0540</x:v>
      </x:c>
      <x:c r="J163" s="11" t="str">
        <x:v>Not reviewed</x:v>
      </x:c>
      <x:c r="K163" s="11" t="str">
        <x:v>Add exact dialog/button/action test IDs during inventory walk.</x:v>
      </x:c>
    </x:row>
    <x:row r="164" ht="38" customHeight="1">
      <x:c r="A164" s="10" t="str">
        <x:v>Subsection</x:v>
      </x:c>
      <x:c r="B164" s="10" t="str">
        <x:v>/admin/workspaces/events</x:v>
      </x:c>
      <x:c r="C164" s="10" t="str">
        <x:v>perks</x:v>
      </x:c>
      <x:c r="D164" s="10" t="str">
        <x:v>Intended permitted role</x:v>
      </x:c>
      <x:c r="E164" s="11" t="str">
        <x:v>Candidate inventory; confirm visible controls</x:v>
      </x:c>
      <x:c r="F164" s="10" t="str">
        <x:v>staff-navigation + workspace components</x:v>
      </x:c>
      <x:c r="G164" s="11" t="str"/>
      <x:c r="H164" s="11" t="str">
        <x:v>Relevant canonical services; verify during review</x:v>
      </x:c>
      <x:c r="I164" s="11" t="str">
        <x:v>QA-0538 to QA-0540</x:v>
      </x:c>
      <x:c r="J164" s="11" t="str">
        <x:v>Not reviewed</x:v>
      </x:c>
      <x:c r="K164" s="11" t="str">
        <x:v>Add exact dialog/button/action test IDs during inventory walk.</x:v>
      </x:c>
    </x:row>
    <x:row r="165" ht="38" customHeight="1">
      <x:c r="A165" s="10" t="str">
        <x:v>Subsection</x:v>
      </x:c>
      <x:c r="B165" s="10" t="str">
        <x:v>/admin/workspaces/events</x:v>
      </x:c>
      <x:c r="C165" s="10" t="str">
        <x:v>announcements</x:v>
      </x:c>
      <x:c r="D165" s="10" t="str">
        <x:v>Intended permitted role</x:v>
      </x:c>
      <x:c r="E165" s="11" t="str">
        <x:v>Candidate inventory; confirm visible controls</x:v>
      </x:c>
      <x:c r="F165" s="10" t="str">
        <x:v>staff-navigation + workspace components</x:v>
      </x:c>
      <x:c r="G165" s="11" t="str"/>
      <x:c r="H165" s="11" t="str">
        <x:v>Relevant canonical services; verify during review</x:v>
      </x:c>
      <x:c r="I165" s="11" t="str">
        <x:v>QA-0538 to QA-0540</x:v>
      </x:c>
      <x:c r="J165" s="11" t="str">
        <x:v>Not reviewed</x:v>
      </x:c>
      <x:c r="K165" s="11" t="str">
        <x:v>Add exact dialog/button/action test IDs during inventory walk.</x:v>
      </x:c>
    </x:row>
    <x:row r="166" ht="38" customHeight="1">
      <x:c r="A166" s="10" t="str">
        <x:v>Subsection</x:v>
      </x:c>
      <x:c r="B166" s="10" t="str">
        <x:v>/admin/workspaces/events</x:v>
      </x:c>
      <x:c r="C166" s="10" t="str">
        <x:v>promotions</x:v>
      </x:c>
      <x:c r="D166" s="10" t="str">
        <x:v>Intended permitted role</x:v>
      </x:c>
      <x:c r="E166" s="11" t="str">
        <x:v>Candidate inventory; confirm visible controls</x:v>
      </x:c>
      <x:c r="F166" s="10" t="str">
        <x:v>staff-navigation + workspace components</x:v>
      </x:c>
      <x:c r="G166" s="11" t="str"/>
      <x:c r="H166" s="11" t="str">
        <x:v>Relevant canonical services; verify during review</x:v>
      </x:c>
      <x:c r="I166" s="11" t="str">
        <x:v>QA-0538 to QA-0540</x:v>
      </x:c>
      <x:c r="J166" s="11" t="str">
        <x:v>Not reviewed</x:v>
      </x:c>
      <x:c r="K166" s="11" t="str">
        <x:v>Add exact dialog/button/action test IDs during inventory walk.</x:v>
      </x:c>
    </x:row>
    <x:row r="167" ht="38" customHeight="1">
      <x:c r="A167" s="10" t="str">
        <x:v>Subsection</x:v>
      </x:c>
      <x:c r="B167" s="10" t="str">
        <x:v>/admin/workspaces/events</x:v>
      </x:c>
      <x:c r="C167" s="10" t="str">
        <x:v>reminders</x:v>
      </x:c>
      <x:c r="D167" s="10" t="str">
        <x:v>Intended permitted role</x:v>
      </x:c>
      <x:c r="E167" s="11" t="str">
        <x:v>Candidate inventory; confirm visible controls</x:v>
      </x:c>
      <x:c r="F167" s="10" t="str">
        <x:v>staff-navigation + workspace components</x:v>
      </x:c>
      <x:c r="G167" s="11" t="str"/>
      <x:c r="H167" s="11" t="str">
        <x:v>Relevant canonical services; verify during review</x:v>
      </x:c>
      <x:c r="I167" s="11" t="str">
        <x:v>QA-0538 to QA-0540</x:v>
      </x:c>
      <x:c r="J167" s="11" t="str">
        <x:v>Not reviewed</x:v>
      </x:c>
      <x:c r="K167" s="11" t="str">
        <x:v>Add exact dialog/button/action test IDs during inventory walk.</x:v>
      </x:c>
    </x:row>
    <x:row r="168" ht="38" customHeight="1">
      <x:c r="A168" s="10" t="str">
        <x:v>Subsection</x:v>
      </x:c>
      <x:c r="B168" s="10" t="str">
        <x:v>/admin/workspaces/events</x:v>
      </x:c>
      <x:c r="C168" s="10" t="str">
        <x:v>delivery</x:v>
      </x:c>
      <x:c r="D168" s="10" t="str">
        <x:v>Intended permitted role</x:v>
      </x:c>
      <x:c r="E168" s="11" t="str">
        <x:v>Candidate inventory; confirm visible controls</x:v>
      </x:c>
      <x:c r="F168" s="10" t="str">
        <x:v>staff-navigation + workspace components</x:v>
      </x:c>
      <x:c r="G168" s="11" t="str"/>
      <x:c r="H168" s="11" t="str">
        <x:v>Relevant canonical services; verify during review</x:v>
      </x:c>
      <x:c r="I168" s="11" t="str">
        <x:v>QA-0538 to QA-0540</x:v>
      </x:c>
      <x:c r="J168" s="11" t="str">
        <x:v>Not reviewed</x:v>
      </x:c>
      <x:c r="K168" s="11" t="str">
        <x:v>Add exact dialog/button/action test IDs during inventory walk.</x:v>
      </x:c>
    </x:row>
    <x:row r="169" ht="38" customHeight="1">
      <x:c r="A169" s="10" t="str">
        <x:v>Subsection</x:v>
      </x:c>
      <x:c r="B169" s="10" t="str">
        <x:v>/admin/workspaces/events</x:v>
      </x:c>
      <x:c r="C169" s="10" t="str">
        <x:v>completion</x:v>
      </x:c>
      <x:c r="D169" s="10" t="str">
        <x:v>Intended permitted role</x:v>
      </x:c>
      <x:c r="E169" s="11" t="str">
        <x:v>Candidate inventory; confirm visible controls</x:v>
      </x:c>
      <x:c r="F169" s="10" t="str">
        <x:v>staff-navigation + workspace components</x:v>
      </x:c>
      <x:c r="G169" s="11" t="str"/>
      <x:c r="H169" s="11" t="str">
        <x:v>Relevant canonical services; verify during review</x:v>
      </x:c>
      <x:c r="I169" s="11" t="str">
        <x:v>QA-0538 to QA-0540</x:v>
      </x:c>
      <x:c r="J169" s="11" t="str">
        <x:v>Not reviewed</x:v>
      </x:c>
      <x:c r="K169" s="11" t="str">
        <x:v>Add exact dialog/button/action test IDs during inventory walk.</x:v>
      </x:c>
    </x:row>
    <x:row r="170" ht="38" customHeight="1">
      <x:c r="A170" s="10" t="str">
        <x:v>Subsection</x:v>
      </x:c>
      <x:c r="B170" s="10" t="str">
        <x:v>/admin/workspaces/flyers</x:v>
      </x:c>
      <x:c r="C170" s="10" t="str">
        <x:v>Builder</x:v>
      </x:c>
      <x:c r="D170" s="10" t="str">
        <x:v>Intended permitted role</x:v>
      </x:c>
      <x:c r="E170" s="11" t="str">
        <x:v>Candidate inventory; confirm visible controls</x:v>
      </x:c>
      <x:c r="F170" s="10" t="str">
        <x:v>staff-navigation + workspace components</x:v>
      </x:c>
      <x:c r="G170" s="11" t="str"/>
      <x:c r="H170" s="11" t="str">
        <x:v>Relevant canonical services; verify during review</x:v>
      </x:c>
      <x:c r="I170" s="11" t="str">
        <x:v>QA-0541 to QA-0543</x:v>
      </x:c>
      <x:c r="J170" s="11" t="str">
        <x:v>Not reviewed</x:v>
      </x:c>
      <x:c r="K170" s="11" t="str">
        <x:v>Add exact dialog/button/action test IDs during inventory walk.</x:v>
      </x:c>
    </x:row>
    <x:row r="171" ht="38" customHeight="1">
      <x:c r="A171" s="10" t="str">
        <x:v>Subsection</x:v>
      </x:c>
      <x:c r="B171" s="10" t="str">
        <x:v>/admin/workspaces/flyers</x:v>
      </x:c>
      <x:c r="C171" s="10" t="str">
        <x:v>variant</x:v>
      </x:c>
      <x:c r="D171" s="10" t="str">
        <x:v>Intended permitted role</x:v>
      </x:c>
      <x:c r="E171" s="11" t="str">
        <x:v>Candidate inventory; confirm visible controls</x:v>
      </x:c>
      <x:c r="F171" s="10" t="str">
        <x:v>staff-navigation + workspace components</x:v>
      </x:c>
      <x:c r="G171" s="11" t="str"/>
      <x:c r="H171" s="11" t="str">
        <x:v>Relevant canonical services; verify during review</x:v>
      </x:c>
      <x:c r="I171" s="11" t="str">
        <x:v>QA-0541 to QA-0543</x:v>
      </x:c>
      <x:c r="J171" s="11" t="str">
        <x:v>Not reviewed</x:v>
      </x:c>
      <x:c r="K171" s="11" t="str">
        <x:v>Add exact dialog/button/action test IDs during inventory walk.</x:v>
      </x:c>
    </x:row>
    <x:row r="172" ht="38" customHeight="1">
      <x:c r="A172" s="10" t="str">
        <x:v>Subsection</x:v>
      </x:c>
      <x:c r="B172" s="10" t="str">
        <x:v>/admin/workspaces/flyers</x:v>
      </x:c>
      <x:c r="C172" s="10" t="str">
        <x:v>preview</x:v>
      </x:c>
      <x:c r="D172" s="10" t="str">
        <x:v>Intended permitted role</x:v>
      </x:c>
      <x:c r="E172" s="11" t="str">
        <x:v>Candidate inventory; confirm visible controls</x:v>
      </x:c>
      <x:c r="F172" s="10" t="str">
        <x:v>staff-navigation + workspace components</x:v>
      </x:c>
      <x:c r="G172" s="11" t="str"/>
      <x:c r="H172" s="11" t="str">
        <x:v>Relevant canonical services; verify during review</x:v>
      </x:c>
      <x:c r="I172" s="11" t="str">
        <x:v>QA-0541 to QA-0543</x:v>
      </x:c>
      <x:c r="J172" s="11" t="str">
        <x:v>Not reviewed</x:v>
      </x:c>
      <x:c r="K172" s="11" t="str">
        <x:v>Add exact dialog/button/action test IDs during inventory walk.</x:v>
      </x:c>
    </x:row>
    <x:row r="173" ht="38" customHeight="1">
      <x:c r="A173" s="10" t="str">
        <x:v>Subsection</x:v>
      </x:c>
      <x:c r="B173" s="10" t="str">
        <x:v>/admin/workspaces/flyers</x:v>
      </x:c>
      <x:c r="C173" s="10" t="str">
        <x:v>export</x:v>
      </x:c>
      <x:c r="D173" s="10" t="str">
        <x:v>Intended permitted role</x:v>
      </x:c>
      <x:c r="E173" s="11" t="str">
        <x:v>Candidate inventory; confirm visible controls</x:v>
      </x:c>
      <x:c r="F173" s="10" t="str">
        <x:v>staff-navigation + workspace components</x:v>
      </x:c>
      <x:c r="G173" s="11" t="str"/>
      <x:c r="H173" s="11" t="str">
        <x:v>Relevant canonical services; verify during review</x:v>
      </x:c>
      <x:c r="I173" s="11" t="str">
        <x:v>QA-0541 to QA-0543</x:v>
      </x:c>
      <x:c r="J173" s="11" t="str">
        <x:v>Not reviewed</x:v>
      </x:c>
      <x:c r="K173" s="11" t="str">
        <x:v>Add exact dialog/button/action test IDs during inventory walk.</x:v>
      </x:c>
    </x:row>
    <x:row r="174" ht="38" customHeight="1">
      <x:c r="A174" s="10" t="str">
        <x:v>Subsection</x:v>
      </x:c>
      <x:c r="B174" s="10" t="str">
        <x:v>/admin/workspaces/flyers</x:v>
      </x:c>
      <x:c r="C174" s="10" t="str">
        <x:v>publication</x:v>
      </x:c>
      <x:c r="D174" s="10" t="str">
        <x:v>Intended permitted role</x:v>
      </x:c>
      <x:c r="E174" s="11" t="str">
        <x:v>Candidate inventory; confirm visible controls</x:v>
      </x:c>
      <x:c r="F174" s="10" t="str">
        <x:v>staff-navigation + workspace components</x:v>
      </x:c>
      <x:c r="G174" s="11" t="str"/>
      <x:c r="H174" s="11" t="str">
        <x:v>Relevant canonical services; verify during review</x:v>
      </x:c>
      <x:c r="I174" s="11" t="str">
        <x:v>QA-0541 to QA-0543</x:v>
      </x:c>
      <x:c r="J174" s="11" t="str">
        <x:v>Not reviewed</x:v>
      </x:c>
      <x:c r="K174" s="11" t="str">
        <x:v>Add exact dialog/button/action test IDs during inventory walk.</x:v>
      </x:c>
    </x:row>
    <x:row r="175" ht="38" customHeight="1">
      <x:c r="A175" s="10" t="str">
        <x:v>Subsection</x:v>
      </x:c>
      <x:c r="B175" s="10" t="str">
        <x:v>/admin/workspaces/imports</x:v>
      </x:c>
      <x:c r="C175" s="10" t="str">
        <x:v>Historical CSV preview</x:v>
      </x:c>
      <x:c r="D175" s="10" t="str">
        <x:v>Intended permitted role</x:v>
      </x:c>
      <x:c r="E175" s="11" t="str">
        <x:v>Candidate inventory; confirm visible controls</x:v>
      </x:c>
      <x:c r="F175" s="10" t="str">
        <x:v>staff-navigation + workspace components</x:v>
      </x:c>
      <x:c r="G175" s="11" t="str"/>
      <x:c r="H175" s="11" t="str">
        <x:v>Relevant canonical services; verify during review</x:v>
      </x:c>
      <x:c r="I175" s="11" t="str">
        <x:v>QA-0544 to QA-0546</x:v>
      </x:c>
      <x:c r="J175" s="11" t="str">
        <x:v>Not reviewed</x:v>
      </x:c>
      <x:c r="K175" s="11" t="str">
        <x:v>Add exact dialog/button/action test IDs during inventory walk.</x:v>
      </x:c>
    </x:row>
    <x:row r="176" ht="38" customHeight="1">
      <x:c r="A176" s="10" t="str">
        <x:v>Subsection</x:v>
      </x:c>
      <x:c r="B176" s="10" t="str">
        <x:v>/admin/workspaces/imports</x:v>
      </x:c>
      <x:c r="C176" s="10" t="str">
        <x:v>validation</x:v>
      </x:c>
      <x:c r="D176" s="10" t="str">
        <x:v>Intended permitted role</x:v>
      </x:c>
      <x:c r="E176" s="11" t="str">
        <x:v>Candidate inventory; confirm visible controls</x:v>
      </x:c>
      <x:c r="F176" s="10" t="str">
        <x:v>staff-navigation + workspace components</x:v>
      </x:c>
      <x:c r="G176" s="11" t="str"/>
      <x:c r="H176" s="11" t="str">
        <x:v>Relevant canonical services; verify during review</x:v>
      </x:c>
      <x:c r="I176" s="11" t="str">
        <x:v>QA-0544 to QA-0546</x:v>
      </x:c>
      <x:c r="J176" s="11" t="str">
        <x:v>Not reviewed</x:v>
      </x:c>
      <x:c r="K176" s="11" t="str">
        <x:v>Add exact dialog/button/action test IDs during inventory walk.</x:v>
      </x:c>
    </x:row>
    <x:row r="177" ht="38" customHeight="1">
      <x:c r="A177" s="10" t="str">
        <x:v>Subsection</x:v>
      </x:c>
      <x:c r="B177" s="10" t="str">
        <x:v>/admin/workspaces/imports</x:v>
      </x:c>
      <x:c r="C177" s="10" t="str">
        <x:v>disabled commit</x:v>
      </x:c>
      <x:c r="D177" s="10" t="str">
        <x:v>Intended permitted role</x:v>
      </x:c>
      <x:c r="E177" s="11" t="str">
        <x:v>Candidate inventory; confirm visible controls</x:v>
      </x:c>
      <x:c r="F177" s="10" t="str">
        <x:v>staff-navigation + workspace components</x:v>
      </x:c>
      <x:c r="G177" s="11" t="str"/>
      <x:c r="H177" s="11" t="str">
        <x:v>Relevant canonical services; verify during review</x:v>
      </x:c>
      <x:c r="I177" s="11" t="str">
        <x:v>QA-0544 to QA-0546</x:v>
      </x:c>
      <x:c r="J177" s="11" t="str">
        <x:v>Not reviewed</x:v>
      </x:c>
      <x:c r="K177" s="11" t="str">
        <x:v>Add exact dialog/button/action test IDs during inventory walk.</x:v>
      </x:c>
    </x:row>
    <x:row r="178" ht="38" customHeight="1">
      <x:c r="A178" s="10" t="str">
        <x:v>Subsection</x:v>
      </x:c>
      <x:c r="B178" s="10" t="str">
        <x:v>/admin/workspaces/website</x:v>
      </x:c>
      <x:c r="C178" s="10" t="str">
        <x:v>Site settings</x:v>
      </x:c>
      <x:c r="D178" s="10" t="str">
        <x:v>Intended permitted role</x:v>
      </x:c>
      <x:c r="E178" s="11" t="str">
        <x:v>Candidate inventory; confirm visible controls</x:v>
      </x:c>
      <x:c r="F178" s="10" t="str">
        <x:v>staff-navigation + workspace components</x:v>
      </x:c>
      <x:c r="G178" s="11" t="str"/>
      <x:c r="H178" s="11" t="str">
        <x:v>Relevant canonical services; verify during review</x:v>
      </x:c>
      <x:c r="I178" s="11" t="str">
        <x:v>QA-0547 to QA-0549</x:v>
      </x:c>
      <x:c r="J178" s="11" t="str">
        <x:v>Not reviewed</x:v>
      </x:c>
      <x:c r="K178" s="11" t="str">
        <x:v>Add exact dialog/button/action test IDs during inventory walk.</x:v>
      </x:c>
    </x:row>
    <x:row r="179" ht="38" customHeight="1">
      <x:c r="A179" s="10" t="str">
        <x:v>Subsection</x:v>
      </x:c>
      <x:c r="B179" s="10" t="str">
        <x:v>/admin/workspaces/website</x:v>
      </x:c>
      <x:c r="C179" s="10" t="str">
        <x:v>homepage</x:v>
      </x:c>
      <x:c r="D179" s="10" t="str">
        <x:v>Intended permitted role</x:v>
      </x:c>
      <x:c r="E179" s="11" t="str">
        <x:v>Candidate inventory; confirm visible controls</x:v>
      </x:c>
      <x:c r="F179" s="10" t="str">
        <x:v>staff-navigation + workspace components</x:v>
      </x:c>
      <x:c r="G179" s="11" t="str"/>
      <x:c r="H179" s="11" t="str">
        <x:v>Relevant canonical services; verify during review</x:v>
      </x:c>
      <x:c r="I179" s="11" t="str">
        <x:v>QA-0547 to QA-0549</x:v>
      </x:c>
      <x:c r="J179" s="11" t="str">
        <x:v>Not reviewed</x:v>
      </x:c>
      <x:c r="K179" s="11" t="str">
        <x:v>Add exact dialog/button/action test IDs during inventory walk.</x:v>
      </x:c>
    </x:row>
    <x:row r="180" ht="38" customHeight="1">
      <x:c r="A180" s="10" t="str">
        <x:v>Subsection</x:v>
      </x:c>
      <x:c r="B180" s="10" t="str">
        <x:v>/admin/workspaces/website</x:v>
      </x:c>
      <x:c r="C180" s="10" t="str">
        <x:v>links</x:v>
      </x:c>
      <x:c r="D180" s="10" t="str">
        <x:v>Intended permitted role</x:v>
      </x:c>
      <x:c r="E180" s="11" t="str">
        <x:v>Candidate inventory; confirm visible controls</x:v>
      </x:c>
      <x:c r="F180" s="10" t="str">
        <x:v>staff-navigation + workspace components</x:v>
      </x:c>
      <x:c r="G180" s="11" t="str"/>
      <x:c r="H180" s="11" t="str">
        <x:v>Relevant canonical services; verify during review</x:v>
      </x:c>
      <x:c r="I180" s="11" t="str">
        <x:v>QA-0547 to QA-0549</x:v>
      </x:c>
      <x:c r="J180" s="11" t="str">
        <x:v>Not reviewed</x:v>
      </x:c>
      <x:c r="K180" s="11" t="str">
        <x:v>Add exact dialog/button/action test IDs during inventory walk.</x:v>
      </x:c>
    </x:row>
    <x:row r="181" ht="38" customHeight="1">
      <x:c r="A181" s="10" t="str">
        <x:v>Subsection</x:v>
      </x:c>
      <x:c r="B181" s="10" t="str">
        <x:v>/admin/workspaces/website</x:v>
      </x:c>
      <x:c r="C181" s="10" t="str">
        <x:v>downloads</x:v>
      </x:c>
      <x:c r="D181" s="10" t="str">
        <x:v>Intended permitted role</x:v>
      </x:c>
      <x:c r="E181" s="11" t="str">
        <x:v>Candidate inventory; confirm visible controls</x:v>
      </x:c>
      <x:c r="F181" s="10" t="str">
        <x:v>staff-navigation + workspace components</x:v>
      </x:c>
      <x:c r="G181" s="11" t="str"/>
      <x:c r="H181" s="11" t="str">
        <x:v>Relevant canonical services; verify during review</x:v>
      </x:c>
      <x:c r="I181" s="11" t="str">
        <x:v>QA-0547 to QA-0549</x:v>
      </x:c>
      <x:c r="J181" s="11" t="str">
        <x:v>Not reviewed</x:v>
      </x:c>
      <x:c r="K181" s="11" t="str">
        <x:v>Add exact dialog/button/action test IDs during inventory walk.</x:v>
      </x:c>
    </x:row>
    <x:row r="182" ht="38" customHeight="1">
      <x:c r="A182" s="10" t="str">
        <x:v>Subsection</x:v>
      </x:c>
      <x:c r="B182" s="10" t="str">
        <x:v>/admin/workspaces/website</x:v>
      </x:c>
      <x:c r="C182" s="10" t="str">
        <x:v>preview</x:v>
      </x:c>
      <x:c r="D182" s="10" t="str">
        <x:v>Intended permitted role</x:v>
      </x:c>
      <x:c r="E182" s="11" t="str">
        <x:v>Candidate inventory; confirm visible controls</x:v>
      </x:c>
      <x:c r="F182" s="10" t="str">
        <x:v>staff-navigation + workspace components</x:v>
      </x:c>
      <x:c r="G182" s="11" t="str"/>
      <x:c r="H182" s="11" t="str">
        <x:v>Relevant canonical services; verify during review</x:v>
      </x:c>
      <x:c r="I182" s="11" t="str">
        <x:v>QA-0547 to QA-0549</x:v>
      </x:c>
      <x:c r="J182" s="11" t="str">
        <x:v>Not reviewed</x:v>
      </x:c>
      <x:c r="K182" s="11" t="str">
        <x:v>Add exact dialog/button/action test IDs during inventory walk.</x:v>
      </x:c>
    </x:row>
    <x:row r="183" ht="38" customHeight="1">
      <x:c r="A183" s="10" t="str">
        <x:v>Subsection</x:v>
      </x:c>
      <x:c r="B183" s="10" t="str">
        <x:v>/admin/workspaces/website</x:v>
      </x:c>
      <x:c r="C183" s="10" t="str">
        <x:v>revisions</x:v>
      </x:c>
      <x:c r="D183" s="10" t="str">
        <x:v>Intended permitted role</x:v>
      </x:c>
      <x:c r="E183" s="11" t="str">
        <x:v>Candidate inventory; confirm visible controls</x:v>
      </x:c>
      <x:c r="F183" s="10" t="str">
        <x:v>staff-navigation + workspace components</x:v>
      </x:c>
      <x:c r="G183" s="11" t="str"/>
      <x:c r="H183" s="11" t="str">
        <x:v>Relevant canonical services; verify during review</x:v>
      </x:c>
      <x:c r="I183" s="11" t="str">
        <x:v>QA-0547 to QA-0549</x:v>
      </x:c>
      <x:c r="J183" s="11" t="str">
        <x:v>Not reviewed</x:v>
      </x:c>
      <x:c r="K183" s="11" t="str">
        <x:v>Add exact dialog/button/action test IDs during inventory walk.</x:v>
      </x:c>
    </x:row>
    <x:row r="184" ht="38" customHeight="1">
      <x:c r="A184" s="10" t="str">
        <x:v>Subsection</x:v>
      </x:c>
      <x:c r="B184" s="10" t="str">
        <x:v>/admin/workspaces/website</x:v>
      </x:c>
      <x:c r="C184" s="10" t="str">
        <x:v>publication</x:v>
      </x:c>
      <x:c r="D184" s="10" t="str">
        <x:v>Intended permitted role</x:v>
      </x:c>
      <x:c r="E184" s="11" t="str">
        <x:v>Candidate inventory; confirm visible controls</x:v>
      </x:c>
      <x:c r="F184" s="10" t="str">
        <x:v>staff-navigation + workspace components</x:v>
      </x:c>
      <x:c r="G184" s="11" t="str"/>
      <x:c r="H184" s="11" t="str">
        <x:v>Relevant canonical services; verify during review</x:v>
      </x:c>
      <x:c r="I184" s="11" t="str">
        <x:v>QA-0547 to QA-0549</x:v>
      </x:c>
      <x:c r="J184" s="11" t="str">
        <x:v>Not reviewed</x:v>
      </x:c>
      <x:c r="K184" s="11" t="str">
        <x:v>Add exact dialog/button/action test IDs during inventory walk.</x:v>
      </x:c>
    </x:row>
    <x:row r="185" ht="38" customHeight="1">
      <x:c r="A185" s="10" t="str">
        <x:v>Subsection</x:v>
      </x:c>
      <x:c r="B185" s="10" t="str">
        <x:v>/admin/workspaces/content</x:v>
      </x:c>
      <x:c r="C185" s="10" t="str">
        <x:v>Pages</x:v>
      </x:c>
      <x:c r="D185" s="10" t="str">
        <x:v>Intended permitted role</x:v>
      </x:c>
      <x:c r="E185" s="11" t="str">
        <x:v>Candidate inventory; confirm visible controls</x:v>
      </x:c>
      <x:c r="F185" s="10" t="str">
        <x:v>staff-navigation + workspace components</x:v>
      </x:c>
      <x:c r="G185" s="11" t="str"/>
      <x:c r="H185" s="11" t="str">
        <x:v>Relevant canonical services; verify during review</x:v>
      </x:c>
      <x:c r="I185" s="11" t="str">
        <x:v>QA-0550 to QA-0552</x:v>
      </x:c>
      <x:c r="J185" s="11" t="str">
        <x:v>Not reviewed</x:v>
      </x:c>
      <x:c r="K185" s="11" t="str">
        <x:v>Add exact dialog/button/action test IDs during inventory walk.</x:v>
      </x:c>
    </x:row>
    <x:row r="186" ht="38" customHeight="1">
      <x:c r="A186" s="10" t="str">
        <x:v>Subsection</x:v>
      </x:c>
      <x:c r="B186" s="10" t="str">
        <x:v>/admin/workspaces/content</x:v>
      </x:c>
      <x:c r="C186" s="10" t="str">
        <x:v>insights-news</x:v>
      </x:c>
      <x:c r="D186" s="10" t="str">
        <x:v>Intended permitted role</x:v>
      </x:c>
      <x:c r="E186" s="11" t="str">
        <x:v>Candidate inventory; confirm visible controls</x:v>
      </x:c>
      <x:c r="F186" s="10" t="str">
        <x:v>staff-navigation + workspace components</x:v>
      </x:c>
      <x:c r="G186" s="11" t="str"/>
      <x:c r="H186" s="11" t="str">
        <x:v>Relevant canonical services; verify during review</x:v>
      </x:c>
      <x:c r="I186" s="11" t="str">
        <x:v>QA-0550 to QA-0552</x:v>
      </x:c>
      <x:c r="J186" s="11" t="str">
        <x:v>Not reviewed</x:v>
      </x:c>
      <x:c r="K186" s="11" t="str">
        <x:v>Add exact dialog/button/action test IDs during inventory walk.</x:v>
      </x:c>
    </x:row>
    <x:row r="187" ht="38" customHeight="1">
      <x:c r="A187" s="10" t="str">
        <x:v>Subsection</x:v>
      </x:c>
      <x:c r="B187" s="10" t="str">
        <x:v>/admin/workspaces/content</x:v>
      </x:c>
      <x:c r="C187" s="10" t="str">
        <x:v>sources</x:v>
      </x:c>
      <x:c r="D187" s="10" t="str">
        <x:v>Intended permitted role</x:v>
      </x:c>
      <x:c r="E187" s="11" t="str">
        <x:v>Candidate inventory; confirm visible controls</x:v>
      </x:c>
      <x:c r="F187" s="10" t="str">
        <x:v>staff-navigation + workspace components</x:v>
      </x:c>
      <x:c r="G187" s="11" t="str"/>
      <x:c r="H187" s="11" t="str">
        <x:v>Relevant canonical services; verify during review</x:v>
      </x:c>
      <x:c r="I187" s="11" t="str">
        <x:v>QA-0550 to QA-0552</x:v>
      </x:c>
      <x:c r="J187" s="11" t="str">
        <x:v>Not reviewed</x:v>
      </x:c>
      <x:c r="K187" s="11" t="str">
        <x:v>Add exact dialog/button/action test IDs during inventory walk.</x:v>
      </x:c>
    </x:row>
    <x:row r="188" ht="38" customHeight="1">
      <x:c r="A188" s="10" t="str">
        <x:v>Subsection</x:v>
      </x:c>
      <x:c r="B188" s="10" t="str">
        <x:v>/admin/workspaces/content</x:v>
      </x:c>
      <x:c r="C188" s="10" t="str">
        <x:v>rich editor</x:v>
      </x:c>
      <x:c r="D188" s="10" t="str">
        <x:v>Intended permitted role</x:v>
      </x:c>
      <x:c r="E188" s="11" t="str">
        <x:v>Candidate inventory; confirm visible controls</x:v>
      </x:c>
      <x:c r="F188" s="10" t="str">
        <x:v>staff-navigation + workspace components</x:v>
      </x:c>
      <x:c r="G188" s="11" t="str"/>
      <x:c r="H188" s="11" t="str">
        <x:v>Relevant canonical services; verify during review</x:v>
      </x:c>
      <x:c r="I188" s="11" t="str">
        <x:v>QA-0550 to QA-0552</x:v>
      </x:c>
      <x:c r="J188" s="11" t="str">
        <x:v>Not reviewed</x:v>
      </x:c>
      <x:c r="K188" s="11" t="str">
        <x:v>Add exact dialog/button/action test IDs during inventory walk.</x:v>
      </x:c>
    </x:row>
    <x:row r="189" ht="38" customHeight="1">
      <x:c r="A189" s="10" t="str">
        <x:v>Subsection</x:v>
      </x:c>
      <x:c r="B189" s="10" t="str">
        <x:v>/admin/workspaces/content</x:v>
      </x:c>
      <x:c r="C189" s="10" t="str">
        <x:v>preview</x:v>
      </x:c>
      <x:c r="D189" s="10" t="str">
        <x:v>Intended permitted role</x:v>
      </x:c>
      <x:c r="E189" s="11" t="str">
        <x:v>Candidate inventory; confirm visible controls</x:v>
      </x:c>
      <x:c r="F189" s="10" t="str">
        <x:v>staff-navigation + workspace components</x:v>
      </x:c>
      <x:c r="G189" s="11" t="str"/>
      <x:c r="H189" s="11" t="str">
        <x:v>Relevant canonical services; verify during review</x:v>
      </x:c>
      <x:c r="I189" s="11" t="str">
        <x:v>QA-0550 to QA-0552</x:v>
      </x:c>
      <x:c r="J189" s="11" t="str">
        <x:v>Not reviewed</x:v>
      </x:c>
      <x:c r="K189" s="11" t="str">
        <x:v>Add exact dialog/button/action test IDs during inventory walk.</x:v>
      </x:c>
    </x:row>
    <x:row r="190" ht="38" customHeight="1">
      <x:c r="A190" s="10" t="str">
        <x:v>Subsection</x:v>
      </x:c>
      <x:c r="B190" s="10" t="str">
        <x:v>/admin/workspaces/content</x:v>
      </x:c>
      <x:c r="C190" s="10" t="str">
        <x:v>revisions</x:v>
      </x:c>
      <x:c r="D190" s="10" t="str">
        <x:v>Intended permitted role</x:v>
      </x:c>
      <x:c r="E190" s="11" t="str">
        <x:v>Candidate inventory; confirm visible controls</x:v>
      </x:c>
      <x:c r="F190" s="10" t="str">
        <x:v>staff-navigation + workspace components</x:v>
      </x:c>
      <x:c r="G190" s="11" t="str"/>
      <x:c r="H190" s="11" t="str">
        <x:v>Relevant canonical services; verify during review</x:v>
      </x:c>
      <x:c r="I190" s="11" t="str">
        <x:v>QA-0550 to QA-0552</x:v>
      </x:c>
      <x:c r="J190" s="11" t="str">
        <x:v>Not reviewed</x:v>
      </x:c>
      <x:c r="K190" s="11" t="str">
        <x:v>Add exact dialog/button/action test IDs during inventory walk.</x:v>
      </x:c>
    </x:row>
    <x:row r="191" ht="38" customHeight="1">
      <x:c r="A191" s="10" t="str">
        <x:v>Subsection</x:v>
      </x:c>
      <x:c r="B191" s="10" t="str">
        <x:v>/admin/workspaces/content</x:v>
      </x:c>
      <x:c r="C191" s="10" t="str">
        <x:v>publication</x:v>
      </x:c>
      <x:c r="D191" s="10" t="str">
        <x:v>Intended permitted role</x:v>
      </x:c>
      <x:c r="E191" s="11" t="str">
        <x:v>Candidate inventory; confirm visible controls</x:v>
      </x:c>
      <x:c r="F191" s="10" t="str">
        <x:v>staff-navigation + workspace components</x:v>
      </x:c>
      <x:c r="G191" s="11" t="str"/>
      <x:c r="H191" s="11" t="str">
        <x:v>Relevant canonical services; verify during review</x:v>
      </x:c>
      <x:c r="I191" s="11" t="str">
        <x:v>QA-0550 to QA-0552</x:v>
      </x:c>
      <x:c r="J191" s="11" t="str">
        <x:v>Not reviewed</x:v>
      </x:c>
      <x:c r="K191" s="11" t="str">
        <x:v>Add exact dialog/button/action test IDs during inventory walk.</x:v>
      </x:c>
    </x:row>
    <x:row r="192" ht="38" customHeight="1">
      <x:c r="A192" s="10" t="str">
        <x:v>Subsection</x:v>
      </x:c>
      <x:c r="B192" s="10" t="str">
        <x:v>/admin/workspaces/media</x:v>
      </x:c>
      <x:c r="C192" s="10" t="str">
        <x:v>Upload</x:v>
      </x:c>
      <x:c r="D192" s="10" t="str">
        <x:v>Intended permitted role</x:v>
      </x:c>
      <x:c r="E192" s="11" t="str">
        <x:v>Candidate inventory; confirm visible controls</x:v>
      </x:c>
      <x:c r="F192" s="10" t="str">
        <x:v>staff-navigation + workspace components</x:v>
      </x:c>
      <x:c r="G192" s="11" t="str"/>
      <x:c r="H192" s="11" t="str">
        <x:v>Relevant canonical services; verify during review</x:v>
      </x:c>
      <x:c r="I192" s="11" t="str">
        <x:v>QA-0553 to QA-0555</x:v>
      </x:c>
      <x:c r="J192" s="11" t="str">
        <x:v>Not reviewed</x:v>
      </x:c>
      <x:c r="K192" s="11" t="str">
        <x:v>Add exact dialog/button/action test IDs during inventory walk.</x:v>
      </x:c>
    </x:row>
    <x:row r="193" ht="38" customHeight="1">
      <x:c r="A193" s="10" t="str">
        <x:v>Subsection</x:v>
      </x:c>
      <x:c r="B193" s="10" t="str">
        <x:v>/admin/workspaces/media</x:v>
      </x:c>
      <x:c r="C193" s="10" t="str">
        <x:v>metadata</x:v>
      </x:c>
      <x:c r="D193" s="10" t="str">
        <x:v>Intended permitted role</x:v>
      </x:c>
      <x:c r="E193" s="11" t="str">
        <x:v>Candidate inventory; confirm visible controls</x:v>
      </x:c>
      <x:c r="F193" s="10" t="str">
        <x:v>staff-navigation + workspace components</x:v>
      </x:c>
      <x:c r="G193" s="11" t="str"/>
      <x:c r="H193" s="11" t="str">
        <x:v>Relevant canonical services; verify during review</x:v>
      </x:c>
      <x:c r="I193" s="11" t="str">
        <x:v>QA-0553 to QA-0555</x:v>
      </x:c>
      <x:c r="J193" s="11" t="str">
        <x:v>Not reviewed</x:v>
      </x:c>
      <x:c r="K193" s="11" t="str">
        <x:v>Add exact dialog/button/action test IDs during inventory walk.</x:v>
      </x:c>
    </x:row>
    <x:row r="194" ht="38" customHeight="1">
      <x:c r="A194" s="10" t="str">
        <x:v>Subsection</x:v>
      </x:c>
      <x:c r="B194" s="10" t="str">
        <x:v>/admin/workspaces/media</x:v>
      </x:c>
      <x:c r="C194" s="10" t="str">
        <x:v>library</x:v>
      </x:c>
      <x:c r="D194" s="10" t="str">
        <x:v>Intended permitted role</x:v>
      </x:c>
      <x:c r="E194" s="11" t="str">
        <x:v>Candidate inventory; confirm visible controls</x:v>
      </x:c>
      <x:c r="F194" s="10" t="str">
        <x:v>staff-navigation + workspace components</x:v>
      </x:c>
      <x:c r="G194" s="11" t="str"/>
      <x:c r="H194" s="11" t="str">
        <x:v>Relevant canonical services; verify during review</x:v>
      </x:c>
      <x:c r="I194" s="11" t="str">
        <x:v>QA-0553 to QA-0555</x:v>
      </x:c>
      <x:c r="J194" s="11" t="str">
        <x:v>Not reviewed</x:v>
      </x:c>
      <x:c r="K194" s="11" t="str">
        <x:v>Add exact dialog/button/action test IDs during inventory walk.</x:v>
      </x:c>
    </x:row>
    <x:row r="195" ht="38" customHeight="1">
      <x:c r="A195" s="10" t="str">
        <x:v>Subsection</x:v>
      </x:c>
      <x:c r="B195" s="10" t="str">
        <x:v>/admin/workspaces/media</x:v>
      </x:c>
      <x:c r="C195" s="10" t="str">
        <x:v>placements</x:v>
      </x:c>
      <x:c r="D195" s="10" t="str">
        <x:v>Intended permitted role</x:v>
      </x:c>
      <x:c r="E195" s="11" t="str">
        <x:v>Candidate inventory; confirm visible controls</x:v>
      </x:c>
      <x:c r="F195" s="10" t="str">
        <x:v>staff-navigation + workspace components</x:v>
      </x:c>
      <x:c r="G195" s="11" t="str"/>
      <x:c r="H195" s="11" t="str">
        <x:v>Relevant canonical services; verify during review</x:v>
      </x:c>
      <x:c r="I195" s="11" t="str">
        <x:v>QA-0553 to QA-0555</x:v>
      </x:c>
      <x:c r="J195" s="11" t="str">
        <x:v>Not reviewed</x:v>
      </x:c>
      <x:c r="K195" s="11" t="str">
        <x:v>Add exact dialog/button/action test IDs during inventory walk.</x:v>
      </x:c>
    </x:row>
    <x:row r="196" ht="38" customHeight="1">
      <x:c r="A196" s="10" t="str">
        <x:v>Subsection</x:v>
      </x:c>
      <x:c r="B196" s="10" t="str">
        <x:v>/admin/workspaces/media</x:v>
      </x:c>
      <x:c r="C196" s="10" t="str">
        <x:v>order</x:v>
      </x:c>
      <x:c r="D196" s="10" t="str">
        <x:v>Intended permitted role</x:v>
      </x:c>
      <x:c r="E196" s="11" t="str">
        <x:v>Candidate inventory; confirm visible controls</x:v>
      </x:c>
      <x:c r="F196" s="10" t="str">
        <x:v>staff-navigation + workspace components</x:v>
      </x:c>
      <x:c r="G196" s="11" t="str"/>
      <x:c r="H196" s="11" t="str">
        <x:v>Relevant canonical services; verify during review</x:v>
      </x:c>
      <x:c r="I196" s="11" t="str">
        <x:v>QA-0553 to QA-0555</x:v>
      </x:c>
      <x:c r="J196" s="11" t="str">
        <x:v>Not reviewed</x:v>
      </x:c>
      <x:c r="K196" s="11" t="str">
        <x:v>Add exact dialog/button/action test IDs during inventory walk.</x:v>
      </x:c>
    </x:row>
    <x:row r="197" ht="38" customHeight="1">
      <x:c r="A197" s="10" t="str">
        <x:v>Subsection</x:v>
      </x:c>
      <x:c r="B197" s="10" t="str">
        <x:v>/admin/workspaces/media</x:v>
      </x:c>
      <x:c r="C197" s="10" t="str">
        <x:v>publication</x:v>
      </x:c>
      <x:c r="D197" s="10" t="str">
        <x:v>Intended permitted role</x:v>
      </x:c>
      <x:c r="E197" s="11" t="str">
        <x:v>Candidate inventory; confirm visible controls</x:v>
      </x:c>
      <x:c r="F197" s="10" t="str">
        <x:v>staff-navigation + workspace components</x:v>
      </x:c>
      <x:c r="G197" s="11" t="str"/>
      <x:c r="H197" s="11" t="str">
        <x:v>Relevant canonical services; verify during review</x:v>
      </x:c>
      <x:c r="I197" s="11" t="str">
        <x:v>QA-0553 to QA-0555</x:v>
      </x:c>
      <x:c r="J197" s="11" t="str">
        <x:v>Not reviewed</x:v>
      </x:c>
      <x:c r="K197" s="11" t="str">
        <x:v>Add exact dialog/button/action test IDs during inventory walk.</x:v>
      </x:c>
    </x:row>
    <x:row r="198" ht="38" customHeight="1">
      <x:c r="A198" s="10" t="str">
        <x:v>Subsection</x:v>
      </x:c>
      <x:c r="B198" s="10" t="str">
        <x:v>/admin/workspaces/governance</x:v>
      </x:c>
      <x:c r="C198" s="10" t="str">
        <x:v>People directory</x:v>
      </x:c>
      <x:c r="D198" s="10" t="str">
        <x:v>Intended permitted role</x:v>
      </x:c>
      <x:c r="E198" s="11" t="str">
        <x:v>Candidate inventory; confirm visible controls</x:v>
      </x:c>
      <x:c r="F198" s="10" t="str">
        <x:v>staff-navigation + workspace components</x:v>
      </x:c>
      <x:c r="G198" s="11" t="str"/>
      <x:c r="H198" s="11" t="str">
        <x:v>Relevant canonical services; verify during review</x:v>
      </x:c>
      <x:c r="I198" s="11" t="str">
        <x:v>QA-0556 to QA-0558</x:v>
      </x:c>
      <x:c r="J198" s="11" t="str">
        <x:v>Not reviewed</x:v>
      </x:c>
      <x:c r="K198" s="11" t="str">
        <x:v>Add exact dialog/button/action test IDs during inventory walk.</x:v>
      </x:c>
    </x:row>
    <x:row r="199" ht="38" customHeight="1">
      <x:c r="A199" s="10" t="str">
        <x:v>Subsection</x:v>
      </x:c>
      <x:c r="B199" s="10" t="str">
        <x:v>/admin/workspaces/governance</x:v>
      </x:c>
      <x:c r="C199" s="10" t="str">
        <x:v>groups</x:v>
      </x:c>
      <x:c r="D199" s="10" t="str">
        <x:v>Intended permitted role</x:v>
      </x:c>
      <x:c r="E199" s="11" t="str">
        <x:v>Candidate inventory; confirm visible controls</x:v>
      </x:c>
      <x:c r="F199" s="10" t="str">
        <x:v>staff-navigation + workspace components</x:v>
      </x:c>
      <x:c r="G199" s="11" t="str"/>
      <x:c r="H199" s="11" t="str">
        <x:v>Relevant canonical services; verify during review</x:v>
      </x:c>
      <x:c r="I199" s="11" t="str">
        <x:v>QA-0556 to QA-0558</x:v>
      </x:c>
      <x:c r="J199" s="11" t="str">
        <x:v>Not reviewed</x:v>
      </x:c>
      <x:c r="K199" s="11" t="str">
        <x:v>Add exact dialog/button/action test IDs during inventory walk.</x:v>
      </x:c>
    </x:row>
    <x:row r="200" ht="38" customHeight="1">
      <x:c r="A200" s="10" t="str">
        <x:v>Subsection</x:v>
      </x:c>
      <x:c r="B200" s="10" t="str">
        <x:v>/admin/workspaces/governance</x:v>
      </x:c>
      <x:c r="C200" s="10" t="str">
        <x:v>assignments</x:v>
      </x:c>
      <x:c r="D200" s="10" t="str">
        <x:v>Intended permitted role</x:v>
      </x:c>
      <x:c r="E200" s="11" t="str">
        <x:v>Candidate inventory; confirm visible controls</x:v>
      </x:c>
      <x:c r="F200" s="10" t="str">
        <x:v>staff-navigation + workspace components</x:v>
      </x:c>
      <x:c r="G200" s="11" t="str"/>
      <x:c r="H200" s="11" t="str">
        <x:v>Relevant canonical services; verify during review</x:v>
      </x:c>
      <x:c r="I200" s="11" t="str">
        <x:v>QA-0556 to QA-0558</x:v>
      </x:c>
      <x:c r="J200" s="11" t="str">
        <x:v>Not reviewed</x:v>
      </x:c>
      <x:c r="K200" s="11" t="str">
        <x:v>Add exact dialog/button/action test IDs during inventory walk.</x:v>
      </x:c>
    </x:row>
    <x:row r="201" ht="38" customHeight="1">
      <x:c r="A201" s="10" t="str">
        <x:v>Subsection</x:v>
      </x:c>
      <x:c r="B201" s="10" t="str">
        <x:v>/admin/workspaces/governance</x:v>
      </x:c>
      <x:c r="C201" s="10" t="str">
        <x:v>proposal review</x:v>
      </x:c>
      <x:c r="D201" s="10" t="str">
        <x:v>Intended permitted role</x:v>
      </x:c>
      <x:c r="E201" s="11" t="str">
        <x:v>Candidate inventory; confirm visible controls</x:v>
      </x:c>
      <x:c r="F201" s="10" t="str">
        <x:v>staff-navigation + workspace components</x:v>
      </x:c>
      <x:c r="G201" s="11" t="str"/>
      <x:c r="H201" s="11" t="str">
        <x:v>Relevant canonical services; verify during review</x:v>
      </x:c>
      <x:c r="I201" s="11" t="str">
        <x:v>QA-0556 to QA-0558</x:v>
      </x:c>
      <x:c r="J201" s="11" t="str">
        <x:v>Not reviewed</x:v>
      </x:c>
      <x:c r="K201" s="11" t="str">
        <x:v>Add exact dialog/button/action test IDs during inventory walk.</x:v>
      </x:c>
    </x:row>
    <x:row r="202" ht="38" customHeight="1">
      <x:c r="A202" s="10" t="str">
        <x:v>Subsection</x:v>
      </x:c>
      <x:c r="B202" s="10" t="str">
        <x:v>/admin/workspaces/governance</x:v>
      </x:c>
      <x:c r="C202" s="10" t="str">
        <x:v>portrait</x:v>
      </x:c>
      <x:c r="D202" s="10" t="str">
        <x:v>Intended permitted role</x:v>
      </x:c>
      <x:c r="E202" s="11" t="str">
        <x:v>Candidate inventory; confirm visible controls</x:v>
      </x:c>
      <x:c r="F202" s="10" t="str">
        <x:v>staff-navigation + workspace components</x:v>
      </x:c>
      <x:c r="G202" s="11" t="str"/>
      <x:c r="H202" s="11" t="str">
        <x:v>Relevant canonical services; verify during review</x:v>
      </x:c>
      <x:c r="I202" s="11" t="str">
        <x:v>QA-0556 to QA-0558</x:v>
      </x:c>
      <x:c r="J202" s="11" t="str">
        <x:v>Not reviewed</x:v>
      </x:c>
      <x:c r="K202" s="11" t="str">
        <x:v>Add exact dialog/button/action test IDs during inventory walk.</x:v>
      </x:c>
    </x:row>
    <x:row r="203" ht="38" customHeight="1">
      <x:c r="A203" s="10" t="str">
        <x:v>Subsection</x:v>
      </x:c>
      <x:c r="B203" s="10" t="str">
        <x:v>/admin/workspaces/governance</x:v>
      </x:c>
      <x:c r="C203" s="10" t="str">
        <x:v>heading</x:v>
      </x:c>
      <x:c r="D203" s="10" t="str">
        <x:v>Intended permitted role</x:v>
      </x:c>
      <x:c r="E203" s="11" t="str">
        <x:v>Candidate inventory; confirm visible controls</x:v>
      </x:c>
      <x:c r="F203" s="10" t="str">
        <x:v>staff-navigation + workspace components</x:v>
      </x:c>
      <x:c r="G203" s="11" t="str"/>
      <x:c r="H203" s="11" t="str">
        <x:v>Relevant canonical services; verify during review</x:v>
      </x:c>
      <x:c r="I203" s="11" t="str">
        <x:v>QA-0556 to QA-0558</x:v>
      </x:c>
      <x:c r="J203" s="11" t="str">
        <x:v>Not reviewed</x:v>
      </x:c>
      <x:c r="K203" s="11" t="str">
        <x:v>Add exact dialog/button/action test IDs during inventory walk.</x:v>
      </x:c>
    </x:row>
    <x:row r="204" ht="38" customHeight="1">
      <x:c r="A204" s="10" t="str">
        <x:v>Subsection</x:v>
      </x:c>
      <x:c r="B204" s="10" t="str">
        <x:v>/admin/workspaces/governance</x:v>
      </x:c>
      <x:c r="C204" s="10" t="str">
        <x:v>archive</x:v>
      </x:c>
      <x:c r="D204" s="10" t="str">
        <x:v>Intended permitted role</x:v>
      </x:c>
      <x:c r="E204" s="11" t="str">
        <x:v>Candidate inventory; confirm visible controls</x:v>
      </x:c>
      <x:c r="F204" s="10" t="str">
        <x:v>staff-navigation + workspace components</x:v>
      </x:c>
      <x:c r="G204" s="11" t="str"/>
      <x:c r="H204" s="11" t="str">
        <x:v>Relevant canonical services; verify during review</x:v>
      </x:c>
      <x:c r="I204" s="11" t="str">
        <x:v>QA-0556 to QA-0558</x:v>
      </x:c>
      <x:c r="J204" s="11" t="str">
        <x:v>Not reviewed</x:v>
      </x:c>
      <x:c r="K204" s="11" t="str">
        <x:v>Add exact dialog/button/action test IDs during inventory walk.</x:v>
      </x:c>
    </x:row>
    <x:row r="205" ht="38" customHeight="1">
      <x:c r="A205" s="10" t="str">
        <x:v>Subsection</x:v>
      </x:c>
      <x:c r="B205" s="10" t="str">
        <x:v>/admin/workspaces/governance</x:v>
      </x:c>
      <x:c r="C205" s="10" t="str">
        <x:v>publication</x:v>
      </x:c>
      <x:c r="D205" s="10" t="str">
        <x:v>Intended permitted role</x:v>
      </x:c>
      <x:c r="E205" s="11" t="str">
        <x:v>Candidate inventory; confirm visible controls</x:v>
      </x:c>
      <x:c r="F205" s="10" t="str">
        <x:v>staff-navigation + workspace components</x:v>
      </x:c>
      <x:c r="G205" s="11" t="str"/>
      <x:c r="H205" s="11" t="str">
        <x:v>Relevant canonical services; verify during review</x:v>
      </x:c>
      <x:c r="I205" s="11" t="str">
        <x:v>QA-0556 to QA-0558</x:v>
      </x:c>
      <x:c r="J205" s="11" t="str">
        <x:v>Not reviewed</x:v>
      </x:c>
      <x:c r="K205" s="11" t="str">
        <x:v>Add exact dialog/button/action test IDs during inventory walk.</x:v>
      </x:c>
    </x:row>
    <x:row r="206" ht="38" customHeight="1">
      <x:c r="A206" s="10" t="str">
        <x:v>Subsection</x:v>
      </x:c>
      <x:c r="B206" s="10" t="str">
        <x:v>/admin/workspaces/payments</x:v>
      </x:c>
      <x:c r="C206" s="10" t="str">
        <x:v>Registration payment review</x:v>
      </x:c>
      <x:c r="D206" s="10" t="str">
        <x:v>Intended permitted role</x:v>
      </x:c>
      <x:c r="E206" s="11" t="str">
        <x:v>Candidate inventory; confirm visible controls</x:v>
      </x:c>
      <x:c r="F206" s="10" t="str">
        <x:v>staff-navigation + workspace components</x:v>
      </x:c>
      <x:c r="G206" s="11" t="str"/>
      <x:c r="H206" s="11" t="str">
        <x:v>Relevant canonical services; verify during review</x:v>
      </x:c>
      <x:c r="I206" s="11" t="str">
        <x:v>QA-0559 to QA-0561</x:v>
      </x:c>
      <x:c r="J206" s="11" t="str">
        <x:v>Not reviewed</x:v>
      </x:c>
      <x:c r="K206" s="11" t="str">
        <x:v>Add exact dialog/button/action test IDs during inventory walk.</x:v>
      </x:c>
    </x:row>
    <x:row r="207" ht="38" customHeight="1">
      <x:c r="A207" s="10" t="str">
        <x:v>Subsection</x:v>
      </x:c>
      <x:c r="B207" s="10" t="str">
        <x:v>/admin/workspaces/payments</x:v>
      </x:c>
      <x:c r="C207" s="10" t="str">
        <x:v>payment account drafts-active-past</x:v>
      </x:c>
      <x:c r="D207" s="10" t="str">
        <x:v>Intended permitted role</x:v>
      </x:c>
      <x:c r="E207" s="11" t="str">
        <x:v>Candidate inventory; confirm visible controls</x:v>
      </x:c>
      <x:c r="F207" s="10" t="str">
        <x:v>staff-navigation + workspace components</x:v>
      </x:c>
      <x:c r="G207" s="11" t="str"/>
      <x:c r="H207" s="11" t="str">
        <x:v>Relevant canonical services; verify during review</x:v>
      </x:c>
      <x:c r="I207" s="11" t="str">
        <x:v>QA-0559 to QA-0561</x:v>
      </x:c>
      <x:c r="J207" s="11" t="str">
        <x:v>Not reviewed</x:v>
      </x:c>
      <x:c r="K207" s="11" t="str">
        <x:v>Add exact dialog/button/action test IDs during inventory walk.</x:v>
      </x:c>
    </x:row>
    <x:row r="208" ht="38" customHeight="1">
      <x:c r="A208" s="10" t="str">
        <x:v>Subsection</x:v>
      </x:c>
      <x:c r="B208" s="10" t="str">
        <x:v>/admin/workspaces/payments</x:v>
      </x:c>
      <x:c r="C208" s="10" t="str">
        <x:v>QR</x:v>
      </x:c>
      <x:c r="D208" s="10" t="str">
        <x:v>Intended permitted role</x:v>
      </x:c>
      <x:c r="E208" s="11" t="str">
        <x:v>Candidate inventory; confirm visible controls</x:v>
      </x:c>
      <x:c r="F208" s="10" t="str">
        <x:v>staff-navigation + workspace components</x:v>
      </x:c>
      <x:c r="G208" s="11" t="str"/>
      <x:c r="H208" s="11" t="str">
        <x:v>Relevant canonical services; verify during review</x:v>
      </x:c>
      <x:c r="I208" s="11" t="str">
        <x:v>QA-0559 to QA-0561</x:v>
      </x:c>
      <x:c r="J208" s="11" t="str">
        <x:v>Not reviewed</x:v>
      </x:c>
      <x:c r="K208" s="11" t="str">
        <x:v>Add exact dialog/button/action test IDs during inventory walk.</x:v>
      </x:c>
    </x:row>
    <x:row r="209" ht="38" customHeight="1">
      <x:c r="A209" s="10" t="str">
        <x:v>Subsection</x:v>
      </x:c>
      <x:c r="B209" s="10" t="str">
        <x:v>/admin/workspaces/payments</x:v>
      </x:c>
      <x:c r="C209" s="10" t="str">
        <x:v>revisions</x:v>
      </x:c>
      <x:c r="D209" s="10" t="str">
        <x:v>Intended permitted role</x:v>
      </x:c>
      <x:c r="E209" s="11" t="str">
        <x:v>Candidate inventory; confirm visible controls</x:v>
      </x:c>
      <x:c r="F209" s="10" t="str">
        <x:v>staff-navigation + workspace components</x:v>
      </x:c>
      <x:c r="G209" s="11" t="str"/>
      <x:c r="H209" s="11" t="str">
        <x:v>Relevant canonical services; verify during review</x:v>
      </x:c>
      <x:c r="I209" s="11" t="str">
        <x:v>QA-0559 to QA-0561</x:v>
      </x:c>
      <x:c r="J209" s="11" t="str">
        <x:v>Not reviewed</x:v>
      </x:c>
      <x:c r="K209" s="11" t="str">
        <x:v>Add exact dialog/button/action test IDs during inventory walk.</x:v>
      </x:c>
    </x:row>
    <x:row r="210" ht="38" customHeight="1">
      <x:c r="A210" s="10" t="str">
        <x:v>Subsection</x:v>
      </x:c>
      <x:c r="B210" s="10" t="str">
        <x:v>/admin/workspaces/payments</x:v>
      </x:c>
      <x:c r="C210" s="10" t="str">
        <x:v>confirmation</x:v>
      </x:c>
      <x:c r="D210" s="10" t="str">
        <x:v>Intended permitted role</x:v>
      </x:c>
      <x:c r="E210" s="11" t="str">
        <x:v>Candidate inventory; confirm visible controls</x:v>
      </x:c>
      <x:c r="F210" s="10" t="str">
        <x:v>staff-navigation + workspace components</x:v>
      </x:c>
      <x:c r="G210" s="11" t="str"/>
      <x:c r="H210" s="11" t="str">
        <x:v>Relevant canonical services; verify during review</x:v>
      </x:c>
      <x:c r="I210" s="11" t="str">
        <x:v>QA-0559 to QA-0561</x:v>
      </x:c>
      <x:c r="J210" s="11" t="str">
        <x:v>Not reviewed</x:v>
      </x:c>
      <x:c r="K210" s="11" t="str">
        <x:v>Add exact dialog/button/action test IDs during inventory walk.</x:v>
      </x:c>
    </x:row>
    <x:row r="211" ht="38" customHeight="1">
      <x:c r="A211" s="10" t="str">
        <x:v>Subsection</x:v>
      </x:c>
      <x:c r="B211" s="10" t="str">
        <x:v>/admin/workspaces/onboarding-email</x:v>
      </x:c>
      <x:c r="C211" s="10" t="str">
        <x:v>Templates</x:v>
      </x:c>
      <x:c r="D211" s="10" t="str">
        <x:v>Intended permitted role</x:v>
      </x:c>
      <x:c r="E211" s="11" t="str">
        <x:v>Candidate inventory; confirm visible controls</x:v>
      </x:c>
      <x:c r="F211" s="10" t="str">
        <x:v>staff-navigation + workspace components</x:v>
      </x:c>
      <x:c r="G211" s="11" t="str"/>
      <x:c r="H211" s="11" t="str">
        <x:v>Relevant canonical services; verify during review</x:v>
      </x:c>
      <x:c r="I211" s="11" t="str">
        <x:v>QA-0562 to QA-0564</x:v>
      </x:c>
      <x:c r="J211" s="11" t="str">
        <x:v>Not reviewed</x:v>
      </x:c>
      <x:c r="K211" s="11" t="str">
        <x:v>Add exact dialog/button/action test IDs during inventory walk.</x:v>
      </x:c>
    </x:row>
    <x:row r="212" ht="38" customHeight="1">
      <x:c r="A212" s="10" t="str">
        <x:v>Subsection</x:v>
      </x:c>
      <x:c r="B212" s="10" t="str">
        <x:v>/admin/workspaces/onboarding-email</x:v>
      </x:c>
      <x:c r="C212" s="10" t="str">
        <x:v>readiness</x:v>
      </x:c>
      <x:c r="D212" s="10" t="str">
        <x:v>Intended permitted role</x:v>
      </x:c>
      <x:c r="E212" s="11" t="str">
        <x:v>Candidate inventory; confirm visible controls</x:v>
      </x:c>
      <x:c r="F212" s="10" t="str">
        <x:v>staff-navigation + workspace components</x:v>
      </x:c>
      <x:c r="G212" s="11" t="str"/>
      <x:c r="H212" s="11" t="str">
        <x:v>Relevant canonical services; verify during review</x:v>
      </x:c>
      <x:c r="I212" s="11" t="str">
        <x:v>QA-0562 to QA-0564</x:v>
      </x:c>
      <x:c r="J212" s="11" t="str">
        <x:v>Not reviewed</x:v>
      </x:c>
      <x:c r="K212" s="11" t="str">
        <x:v>Add exact dialog/button/action test IDs during inventory walk.</x:v>
      </x:c>
    </x:row>
    <x:row r="213" ht="38" customHeight="1">
      <x:c r="A213" s="10" t="str">
        <x:v>Subsection</x:v>
      </x:c>
      <x:c r="B213" s="10" t="str">
        <x:v>/admin/workspaces/onboarding-email</x:v>
      </x:c>
      <x:c r="C213" s="10" t="str">
        <x:v>test preview</x:v>
      </x:c>
      <x:c r="D213" s="10" t="str">
        <x:v>Intended permitted role</x:v>
      </x:c>
      <x:c r="E213" s="11" t="str">
        <x:v>Candidate inventory; confirm visible controls</x:v>
      </x:c>
      <x:c r="F213" s="10" t="str">
        <x:v>staff-navigation + workspace components</x:v>
      </x:c>
      <x:c r="G213" s="11" t="str"/>
      <x:c r="H213" s="11" t="str">
        <x:v>Relevant canonical services; verify during review</x:v>
      </x:c>
      <x:c r="I213" s="11" t="str">
        <x:v>QA-0562 to QA-0564</x:v>
      </x:c>
      <x:c r="J213" s="11" t="str">
        <x:v>Not reviewed</x:v>
      </x:c>
      <x:c r="K213" s="11" t="str">
        <x:v>Add exact dialog/button/action test IDs during inventory walk.</x:v>
      </x:c>
    </x:row>
    <x:row r="214" ht="38" customHeight="1">
      <x:c r="A214" s="10" t="str">
        <x:v>Subsection</x:v>
      </x:c>
      <x:c r="B214" s="10" t="str">
        <x:v>/admin/workspaces/onboarding-email</x:v>
      </x:c>
      <x:c r="C214" s="10" t="str">
        <x:v>configuration</x:v>
      </x:c>
      <x:c r="D214" s="10" t="str">
        <x:v>Intended permitted role</x:v>
      </x:c>
      <x:c r="E214" s="11" t="str">
        <x:v>Candidate inventory; confirm visible controls</x:v>
      </x:c>
      <x:c r="F214" s="10" t="str">
        <x:v>staff-navigation + workspace components</x:v>
      </x:c>
      <x:c r="G214" s="11" t="str"/>
      <x:c r="H214" s="11" t="str">
        <x:v>Relevant canonical services; verify during review</x:v>
      </x:c>
      <x:c r="I214" s="11" t="str">
        <x:v>QA-0562 to QA-0564</x:v>
      </x:c>
      <x:c r="J214" s="11" t="str">
        <x:v>Not reviewed</x:v>
      </x:c>
      <x:c r="K214" s="11" t="str">
        <x:v>Add exact dialog/button/action test IDs during inventory walk.</x:v>
      </x:c>
    </x:row>
    <x:row r="215" ht="38" customHeight="1">
      <x:c r="A215" s="10" t="str">
        <x:v>Subsection</x:v>
      </x:c>
      <x:c r="B215" s="10" t="str">
        <x:v>/admin/workspaces/reports</x:v>
      </x:c>
      <x:c r="C215" s="10" t="str">
        <x:v>Dataset</x:v>
      </x:c>
      <x:c r="D215" s="10" t="str">
        <x:v>Intended permitted role</x:v>
      </x:c>
      <x:c r="E215" s="11" t="str">
        <x:v>Candidate inventory; confirm visible controls</x:v>
      </x:c>
      <x:c r="F215" s="10" t="str">
        <x:v>staff-navigation + workspace components</x:v>
      </x:c>
      <x:c r="G215" s="11" t="str"/>
      <x:c r="H215" s="11" t="str">
        <x:v>Relevant canonical services; verify during review</x:v>
      </x:c>
      <x:c r="I215" s="11" t="str">
        <x:v>QA-0565 to QA-0567</x:v>
      </x:c>
      <x:c r="J215" s="11" t="str">
        <x:v>Not reviewed</x:v>
      </x:c>
      <x:c r="K215" s="11" t="str">
        <x:v>Add exact dialog/button/action test IDs during inventory walk.</x:v>
      </x:c>
    </x:row>
    <x:row r="216" ht="38" customHeight="1">
      <x:c r="A216" s="10" t="str">
        <x:v>Subsection</x:v>
      </x:c>
      <x:c r="B216" s="10" t="str">
        <x:v>/admin/workspaces/reports</x:v>
      </x:c>
      <x:c r="C216" s="10" t="str">
        <x:v>dates</x:v>
      </x:c>
      <x:c r="D216" s="10" t="str">
        <x:v>Intended permitted role</x:v>
      </x:c>
      <x:c r="E216" s="11" t="str">
        <x:v>Candidate inventory; confirm visible controls</x:v>
      </x:c>
      <x:c r="F216" s="10" t="str">
        <x:v>staff-navigation + workspace components</x:v>
      </x:c>
      <x:c r="G216" s="11" t="str"/>
      <x:c r="H216" s="11" t="str">
        <x:v>Relevant canonical services; verify during review</x:v>
      </x:c>
      <x:c r="I216" s="11" t="str">
        <x:v>QA-0565 to QA-0567</x:v>
      </x:c>
      <x:c r="J216" s="11" t="str">
        <x:v>Not reviewed</x:v>
      </x:c>
      <x:c r="K216" s="11" t="str">
        <x:v>Add exact dialog/button/action test IDs during inventory walk.</x:v>
      </x:c>
    </x:row>
    <x:row r="217" ht="38" customHeight="1">
      <x:c r="A217" s="10" t="str">
        <x:v>Subsection</x:v>
      </x:c>
      <x:c r="B217" s="10" t="str">
        <x:v>/admin/workspaces/reports</x:v>
      </x:c>
      <x:c r="C217" s="10" t="str">
        <x:v>filters</x:v>
      </x:c>
      <x:c r="D217" s="10" t="str">
        <x:v>Intended permitted role</x:v>
      </x:c>
      <x:c r="E217" s="11" t="str">
        <x:v>Candidate inventory; confirm visible controls</x:v>
      </x:c>
      <x:c r="F217" s="10" t="str">
        <x:v>staff-navigation + workspace components</x:v>
      </x:c>
      <x:c r="G217" s="11" t="str"/>
      <x:c r="H217" s="11" t="str">
        <x:v>Relevant canonical services; verify during review</x:v>
      </x:c>
      <x:c r="I217" s="11" t="str">
        <x:v>QA-0565 to QA-0567</x:v>
      </x:c>
      <x:c r="J217" s="11" t="str">
        <x:v>Not reviewed</x:v>
      </x:c>
      <x:c r="K217" s="11" t="str">
        <x:v>Add exact dialog/button/action test IDs during inventory walk.</x:v>
      </x:c>
    </x:row>
    <x:row r="218" ht="38" customHeight="1">
      <x:c r="A218" s="10" t="str">
        <x:v>Subsection</x:v>
      </x:c>
      <x:c r="B218" s="10" t="str">
        <x:v>/admin/workspaces/reports</x:v>
      </x:c>
      <x:c r="C218" s="10" t="str">
        <x:v>preview</x:v>
      </x:c>
      <x:c r="D218" s="10" t="str">
        <x:v>Intended permitted role</x:v>
      </x:c>
      <x:c r="E218" s="11" t="str">
        <x:v>Candidate inventory; confirm visible controls</x:v>
      </x:c>
      <x:c r="F218" s="10" t="str">
        <x:v>staff-navigation + workspace components</x:v>
      </x:c>
      <x:c r="G218" s="11" t="str"/>
      <x:c r="H218" s="11" t="str">
        <x:v>Relevant canonical services; verify during review</x:v>
      </x:c>
      <x:c r="I218" s="11" t="str">
        <x:v>QA-0565 to QA-0567</x:v>
      </x:c>
      <x:c r="J218" s="11" t="str">
        <x:v>Not reviewed</x:v>
      </x:c>
      <x:c r="K218" s="11" t="str">
        <x:v>Add exact dialog/button/action test IDs during inventory walk.</x:v>
      </x:c>
    </x:row>
    <x:row r="219" ht="38" customHeight="1">
      <x:c r="A219" s="10" t="str">
        <x:v>Subsection</x:v>
      </x:c>
      <x:c r="B219" s="10" t="str">
        <x:v>/admin/workspaces/reports</x:v>
      </x:c>
      <x:c r="C219" s="10" t="str">
        <x:v>presets</x:v>
      </x:c>
      <x:c r="D219" s="10" t="str">
        <x:v>Intended permitted role</x:v>
      </x:c>
      <x:c r="E219" s="11" t="str">
        <x:v>Candidate inventory; confirm visible controls</x:v>
      </x:c>
      <x:c r="F219" s="10" t="str">
        <x:v>staff-navigation + workspace components</x:v>
      </x:c>
      <x:c r="G219" s="11" t="str"/>
      <x:c r="H219" s="11" t="str">
        <x:v>Relevant canonical services; verify during review</x:v>
      </x:c>
      <x:c r="I219" s="11" t="str">
        <x:v>QA-0565 to QA-0567</x:v>
      </x:c>
      <x:c r="J219" s="11" t="str">
        <x:v>Not reviewed</x:v>
      </x:c>
      <x:c r="K219" s="11" t="str">
        <x:v>Add exact dialog/button/action test IDs during inventory walk.</x:v>
      </x:c>
    </x:row>
    <x:row r="220" ht="38" customHeight="1">
      <x:c r="A220" s="10" t="str">
        <x:v>Subsection</x:v>
      </x:c>
      <x:c r="B220" s="10" t="str">
        <x:v>/admin/workspaces/reports</x:v>
      </x:c>
      <x:c r="C220" s="10" t="str">
        <x:v>CSV-XLSX export</x:v>
      </x:c>
      <x:c r="D220" s="10" t="str">
        <x:v>Intended permitted role</x:v>
      </x:c>
      <x:c r="E220" s="11" t="str">
        <x:v>Candidate inventory; confirm visible controls</x:v>
      </x:c>
      <x:c r="F220" s="10" t="str">
        <x:v>staff-navigation + workspace components</x:v>
      </x:c>
      <x:c r="G220" s="11" t="str"/>
      <x:c r="H220" s="11" t="str">
        <x:v>Relevant canonical services; verify during review</x:v>
      </x:c>
      <x:c r="I220" s="11" t="str">
        <x:v>QA-0565 to QA-0567</x:v>
      </x:c>
      <x:c r="J220" s="11" t="str">
        <x:v>Not reviewed</x:v>
      </x:c>
      <x:c r="K220" s="11" t="str">
        <x:v>Add exact dialog/button/action test IDs during inventory walk.</x:v>
      </x:c>
    </x:row>
    <x:row r="221" ht="38" customHeight="1">
      <x:c r="A221" s="10" t="str">
        <x:v>Subsection</x:v>
      </x:c>
      <x:c r="B221" s="10" t="str">
        <x:v>/admin/workspaces/access</x:v>
      </x:c>
      <x:c r="C221" s="10" t="str">
        <x:v>Account search</x:v>
      </x:c>
      <x:c r="D221" s="10" t="str">
        <x:v>Intended permitted role</x:v>
      </x:c>
      <x:c r="E221" s="11" t="str">
        <x:v>Candidate inventory; confirm visible controls</x:v>
      </x:c>
      <x:c r="F221" s="10" t="str">
        <x:v>staff-navigation + workspace components</x:v>
      </x:c>
      <x:c r="G221" s="11" t="str"/>
      <x:c r="H221" s="11" t="str">
        <x:v>Relevant canonical services; verify during review</x:v>
      </x:c>
      <x:c r="I221" s="11" t="str">
        <x:v>QA-0568 to QA-0570</x:v>
      </x:c>
      <x:c r="J221" s="11" t="str">
        <x:v>Not reviewed</x:v>
      </x:c>
      <x:c r="K221" s="11" t="str">
        <x:v>Add exact dialog/button/action test IDs during inventory walk.</x:v>
      </x:c>
    </x:row>
    <x:row r="222" ht="38" customHeight="1">
      <x:c r="A222" s="10" t="str">
        <x:v>Subsection</x:v>
      </x:c>
      <x:c r="B222" s="10" t="str">
        <x:v>/admin/workspaces/access</x:v>
      </x:c>
      <x:c r="C222" s="10" t="str">
        <x:v>roles</x:v>
      </x:c>
      <x:c r="D222" s="10" t="str">
        <x:v>Intended permitted role</x:v>
      </x:c>
      <x:c r="E222" s="11" t="str">
        <x:v>Candidate inventory; confirm visible controls</x:v>
      </x:c>
      <x:c r="F222" s="10" t="str">
        <x:v>staff-navigation + workspace components</x:v>
      </x:c>
      <x:c r="G222" s="11" t="str"/>
      <x:c r="H222" s="11" t="str">
        <x:v>Relevant canonical services; verify during review</x:v>
      </x:c>
      <x:c r="I222" s="11" t="str">
        <x:v>QA-0568 to QA-0570</x:v>
      </x:c>
      <x:c r="J222" s="11" t="str">
        <x:v>Not reviewed</x:v>
      </x:c>
      <x:c r="K222" s="11" t="str">
        <x:v>Add exact dialog/button/action test IDs during inventory walk.</x:v>
      </x:c>
    </x:row>
    <x:row r="223" ht="38" customHeight="1">
      <x:c r="A223" s="10" t="str">
        <x:v>Subsection</x:v>
      </x:c>
      <x:c r="B223" s="10" t="str">
        <x:v>/admin/workspaces/access</x:v>
      </x:c>
      <x:c r="C223" s="10" t="str">
        <x:v>grant-revoke</x:v>
      </x:c>
      <x:c r="D223" s="10" t="str">
        <x:v>Intended permitted role</x:v>
      </x:c>
      <x:c r="E223" s="11" t="str">
        <x:v>Candidate inventory; confirm visible controls</x:v>
      </x:c>
      <x:c r="F223" s="10" t="str">
        <x:v>staff-navigation + workspace components</x:v>
      </x:c>
      <x:c r="G223" s="11" t="str"/>
      <x:c r="H223" s="11" t="str">
        <x:v>Relevant canonical services; verify during review</x:v>
      </x:c>
      <x:c r="I223" s="11" t="str">
        <x:v>QA-0568 to QA-0570</x:v>
      </x:c>
      <x:c r="J223" s="11" t="str">
        <x:v>Not reviewed</x:v>
      </x:c>
      <x:c r="K223" s="11" t="str">
        <x:v>Add exact dialog/button/action test IDs during inventory walk.</x:v>
      </x:c>
    </x:row>
    <x:row r="224" ht="38" customHeight="1">
      <x:c r="A224" s="10" t="str">
        <x:v>Subsection</x:v>
      </x:c>
      <x:c r="B224" s="10" t="str">
        <x:v>/admin/workspaces/access</x:v>
      </x:c>
      <x:c r="C224" s="10" t="str">
        <x:v>history</x:v>
      </x:c>
      <x:c r="D224" s="10" t="str">
        <x:v>Intended permitted role</x:v>
      </x:c>
      <x:c r="E224" s="11" t="str">
        <x:v>Candidate inventory; confirm visible controls</x:v>
      </x:c>
      <x:c r="F224" s="10" t="str">
        <x:v>staff-navigation + workspace components</x:v>
      </x:c>
      <x:c r="G224" s="11" t="str"/>
      <x:c r="H224" s="11" t="str">
        <x:v>Relevant canonical services; verify during review</x:v>
      </x:c>
      <x:c r="I224" s="11" t="str">
        <x:v>QA-0568 to QA-0570</x:v>
      </x:c>
      <x:c r="J224" s="11" t="str">
        <x:v>Not reviewed</x:v>
      </x:c>
      <x:c r="K224" s="11" t="str">
        <x:v>Add exact dialog/button/action test IDs during inventory walk.</x:v>
      </x:c>
    </x:row>
    <x:row r="225" ht="38" customHeight="1">
      <x:c r="A225" s="10" t="str">
        <x:v>Subsection</x:v>
      </x:c>
      <x:c r="B225" s="10" t="str">
        <x:v>/member</x:v>
      </x:c>
      <x:c r="C225" s="10" t="str">
        <x:v>Dashboard</x:v>
      </x:c>
      <x:c r="D225" s="10" t="str">
        <x:v>Intended permitted role</x:v>
      </x:c>
      <x:c r="E225" s="11" t="str">
        <x:v>Candidate inventory; confirm visible controls</x:v>
      </x:c>
      <x:c r="F225" s="10" t="str">
        <x:v>staff-navigation + workspace components</x:v>
      </x:c>
      <x:c r="G225" s="11" t="str"/>
      <x:c r="H225" s="11" t="str">
        <x:v>Relevant canonical services; verify during review</x:v>
      </x:c>
      <x:c r="I225" s="11" t="str">
        <x:v>QA-0571 to QA-0573</x:v>
      </x:c>
      <x:c r="J225" s="11" t="str">
        <x:v>Not reviewed</x:v>
      </x:c>
      <x:c r="K225" s="11" t="str">
        <x:v>Add exact dialog/button/action test IDs during inventory walk.</x:v>
      </x:c>
    </x:row>
    <x:row r="226" ht="38" customHeight="1">
      <x:c r="A226" s="10" t="str">
        <x:v>Subsection</x:v>
      </x:c>
      <x:c r="B226" s="10" t="str">
        <x:v>/member</x:v>
      </x:c>
      <x:c r="C226" s="10" t="str">
        <x:v>status</x:v>
      </x:c>
      <x:c r="D226" s="10" t="str">
        <x:v>Intended permitted role</x:v>
      </x:c>
      <x:c r="E226" s="11" t="str">
        <x:v>Candidate inventory; confirm visible controls</x:v>
      </x:c>
      <x:c r="F226" s="10" t="str">
        <x:v>staff-navigation + workspace components</x:v>
      </x:c>
      <x:c r="G226" s="11" t="str"/>
      <x:c r="H226" s="11" t="str">
        <x:v>Relevant canonical services; verify during review</x:v>
      </x:c>
      <x:c r="I226" s="11" t="str">
        <x:v>QA-0571 to QA-0573</x:v>
      </x:c>
      <x:c r="J226" s="11" t="str">
        <x:v>Not reviewed</x:v>
      </x:c>
      <x:c r="K226" s="11" t="str">
        <x:v>Add exact dialog/button/action test IDs during inventory walk.</x:v>
      </x:c>
    </x:row>
    <x:row r="227" ht="38" customHeight="1">
      <x:c r="A227" s="10" t="str">
        <x:v>Subsection</x:v>
      </x:c>
      <x:c r="B227" s="10" t="str">
        <x:v>/member</x:v>
      </x:c>
      <x:c r="C227" s="10" t="str">
        <x:v>next actions</x:v>
      </x:c>
      <x:c r="D227" s="10" t="str">
        <x:v>Intended permitted role</x:v>
      </x:c>
      <x:c r="E227" s="11" t="str">
        <x:v>Candidate inventory; confirm visible controls</x:v>
      </x:c>
      <x:c r="F227" s="10" t="str">
        <x:v>staff-navigation + workspace components</x:v>
      </x:c>
      <x:c r="G227" s="11" t="str"/>
      <x:c r="H227" s="11" t="str">
        <x:v>Relevant canonical services; verify during review</x:v>
      </x:c>
      <x:c r="I227" s="11" t="str">
        <x:v>QA-0571 to QA-0573</x:v>
      </x:c>
      <x:c r="J227" s="11" t="str">
        <x:v>Not reviewed</x:v>
      </x:c>
      <x:c r="K227" s="11" t="str">
        <x:v>Add exact dialog/button/action test IDs during inventory walk.</x:v>
      </x:c>
    </x:row>
    <x:row r="228" ht="38" customHeight="1">
      <x:c r="A228" s="10" t="str">
        <x:v>Subsection</x:v>
      </x:c>
      <x:c r="B228" s="10" t="str">
        <x:v>/member</x:v>
      </x:c>
      <x:c r="C228" s="10" t="str">
        <x:v>event journey</x:v>
      </x:c>
      <x:c r="D228" s="10" t="str">
        <x:v>Intended permitted role</x:v>
      </x:c>
      <x:c r="E228" s="11" t="str">
        <x:v>Candidate inventory; confirm visible controls</x:v>
      </x:c>
      <x:c r="F228" s="10" t="str">
        <x:v>staff-navigation + workspace components</x:v>
      </x:c>
      <x:c r="G228" s="11" t="str"/>
      <x:c r="H228" s="11" t="str">
        <x:v>Relevant canonical services; verify during review</x:v>
      </x:c>
      <x:c r="I228" s="11" t="str">
        <x:v>QA-0571 to QA-0573</x:v>
      </x:c>
      <x:c r="J228" s="11" t="str">
        <x:v>Not reviewed</x:v>
      </x:c>
      <x:c r="K228" s="11" t="str">
        <x:v>Add exact dialog/button/action test IDs during inventory walk.</x:v>
      </x:c>
    </x:row>
    <x:row r="229" ht="38" customHeight="1">
      <x:c r="A229" s="10" t="str">
        <x:v>Subsection</x:v>
      </x:c>
      <x:c r="B229" s="10" t="str">
        <x:v>/member/application</x:v>
      </x:c>
      <x:c r="C229" s="10" t="str">
        <x:v>Every application step</x:v>
      </x:c>
      <x:c r="D229" s="10" t="str">
        <x:v>Intended permitted role</x:v>
      </x:c>
      <x:c r="E229" s="11" t="str">
        <x:v>Candidate inventory; confirm visible controls</x:v>
      </x:c>
      <x:c r="F229" s="10" t="str">
        <x:v>staff-navigation + workspace components</x:v>
      </x:c>
      <x:c r="G229" s="11" t="str"/>
      <x:c r="H229" s="11" t="str">
        <x:v>Relevant canonical services; verify during review</x:v>
      </x:c>
      <x:c r="I229" s="11" t="str">
        <x:v>QA-0574 to QA-0576</x:v>
      </x:c>
      <x:c r="J229" s="11" t="str">
        <x:v>Not reviewed</x:v>
      </x:c>
      <x:c r="K229" s="11" t="str">
        <x:v>Add exact dialog/button/action test IDs during inventory walk.</x:v>
      </x:c>
    </x:row>
    <x:row r="230" ht="38" customHeight="1">
      <x:c r="A230" s="10" t="str">
        <x:v>Subsection</x:v>
      </x:c>
      <x:c r="B230" s="10" t="str">
        <x:v>/member/application</x:v>
      </x:c>
      <x:c r="C230" s="10" t="str">
        <x:v>review summary</x:v>
      </x:c>
      <x:c r="D230" s="10" t="str">
        <x:v>Intended permitted role</x:v>
      </x:c>
      <x:c r="E230" s="11" t="str">
        <x:v>Candidate inventory; confirm visible controls</x:v>
      </x:c>
      <x:c r="F230" s="10" t="str">
        <x:v>staff-navigation + workspace components</x:v>
      </x:c>
      <x:c r="G230" s="11" t="str"/>
      <x:c r="H230" s="11" t="str">
        <x:v>Relevant canonical services; verify during review</x:v>
      </x:c>
      <x:c r="I230" s="11" t="str">
        <x:v>QA-0574 to QA-0576</x:v>
      </x:c>
      <x:c r="J230" s="11" t="str">
        <x:v>Not reviewed</x:v>
      </x:c>
      <x:c r="K230" s="11" t="str">
        <x:v>Add exact dialog/button/action test IDs during inventory walk.</x:v>
      </x:c>
    </x:row>
    <x:row r="231" ht="38" customHeight="1">
      <x:c r="A231" s="10" t="str">
        <x:v>Subsection</x:v>
      </x:c>
      <x:c r="B231" s="10" t="str">
        <x:v>/member/application</x:v>
      </x:c>
      <x:c r="C231" s="10" t="str">
        <x:v>save</x:v>
      </x:c>
      <x:c r="D231" s="10" t="str">
        <x:v>Intended permitted role</x:v>
      </x:c>
      <x:c r="E231" s="11" t="str">
        <x:v>Candidate inventory; confirm visible controls</x:v>
      </x:c>
      <x:c r="F231" s="10" t="str">
        <x:v>staff-navigation + workspace components</x:v>
      </x:c>
      <x:c r="G231" s="11" t="str"/>
      <x:c r="H231" s="11" t="str">
        <x:v>Relevant canonical services; verify during review</x:v>
      </x:c>
      <x:c r="I231" s="11" t="str">
        <x:v>QA-0574 to QA-0576</x:v>
      </x:c>
      <x:c r="J231" s="11" t="str">
        <x:v>Not reviewed</x:v>
      </x:c>
      <x:c r="K231" s="11" t="str">
        <x:v>Add exact dialog/button/action test IDs during inventory walk.</x:v>
      </x:c>
    </x:row>
    <x:row r="232" ht="38" customHeight="1">
      <x:c r="A232" s="10" t="str">
        <x:v>Subsection</x:v>
      </x:c>
      <x:c r="B232" s="10" t="str">
        <x:v>/member/application</x:v>
      </x:c>
      <x:c r="C232" s="10" t="str">
        <x:v>evidence</x:v>
      </x:c>
      <x:c r="D232" s="10" t="str">
        <x:v>Intended permitted role</x:v>
      </x:c>
      <x:c r="E232" s="11" t="str">
        <x:v>Candidate inventory; confirm visible controls</x:v>
      </x:c>
      <x:c r="F232" s="10" t="str">
        <x:v>staff-navigation + workspace components</x:v>
      </x:c>
      <x:c r="G232" s="11" t="str"/>
      <x:c r="H232" s="11" t="str">
        <x:v>Relevant canonical services; verify during review</x:v>
      </x:c>
      <x:c r="I232" s="11" t="str">
        <x:v>QA-0574 to QA-0576</x:v>
      </x:c>
      <x:c r="J232" s="11" t="str">
        <x:v>Not reviewed</x:v>
      </x:c>
      <x:c r="K232" s="11" t="str">
        <x:v>Add exact dialog/button/action test IDs during inventory walk.</x:v>
      </x:c>
    </x:row>
    <x:row r="233" ht="38" customHeight="1">
      <x:c r="A233" s="10" t="str">
        <x:v>Subsection</x:v>
      </x:c>
      <x:c r="B233" s="10" t="str">
        <x:v>/member/application</x:v>
      </x:c>
      <x:c r="C233" s="10" t="str">
        <x:v>submission</x:v>
      </x:c>
      <x:c r="D233" s="10" t="str">
        <x:v>Intended permitted role</x:v>
      </x:c>
      <x:c r="E233" s="11" t="str">
        <x:v>Candidate inventory; confirm visible controls</x:v>
      </x:c>
      <x:c r="F233" s="10" t="str">
        <x:v>staff-navigation + workspace components</x:v>
      </x:c>
      <x:c r="G233" s="11" t="str"/>
      <x:c r="H233" s="11" t="str">
        <x:v>Relevant canonical services; verify during review</x:v>
      </x:c>
      <x:c r="I233" s="11" t="str">
        <x:v>QA-0574 to QA-0576</x:v>
      </x:c>
      <x:c r="J233" s="11" t="str">
        <x:v>Not reviewed</x:v>
      </x:c>
      <x:c r="K233" s="11" t="str">
        <x:v>Add exact dialog/button/action test IDs during inventory walk.</x:v>
      </x:c>
    </x:row>
    <x:row r="234" ht="38" customHeight="1">
      <x:c r="A234" s="10" t="str">
        <x:v>Subsection</x:v>
      </x:c>
      <x:c r="B234" s="10" t="str">
        <x:v>/member/events</x:v>
      </x:c>
      <x:c r="C234" s="10" t="str">
        <x:v>Upcoming-past</x:v>
      </x:c>
      <x:c r="D234" s="10" t="str">
        <x:v>Intended permitted role</x:v>
      </x:c>
      <x:c r="E234" s="11" t="str">
        <x:v>Candidate inventory; confirm visible controls</x:v>
      </x:c>
      <x:c r="F234" s="10" t="str">
        <x:v>staff-navigation + workspace components</x:v>
      </x:c>
      <x:c r="G234" s="11" t="str"/>
      <x:c r="H234" s="11" t="str">
        <x:v>Relevant canonical services; verify during review</x:v>
      </x:c>
      <x:c r="I234" s="11" t="str">
        <x:v>QA-0577 to QA-0579</x:v>
      </x:c>
      <x:c r="J234" s="11" t="str">
        <x:v>Not reviewed</x:v>
      </x:c>
      <x:c r="K234" s="11" t="str">
        <x:v>Add exact dialog/button/action test IDs during inventory walk.</x:v>
      </x:c>
    </x:row>
    <x:row r="235" ht="38" customHeight="1">
      <x:c r="A235" s="10" t="str">
        <x:v>Subsection</x:v>
      </x:c>
      <x:c r="B235" s="10" t="str">
        <x:v>/member/events</x:v>
      </x:c>
      <x:c r="C235" s="10" t="str">
        <x:v>selected booking</x:v>
      </x:c>
      <x:c r="D235" s="10" t="str">
        <x:v>Intended permitted role</x:v>
      </x:c>
      <x:c r="E235" s="11" t="str">
        <x:v>Candidate inventory; confirm visible controls</x:v>
      </x:c>
      <x:c r="F235" s="10" t="str">
        <x:v>staff-navigation + workspace components</x:v>
      </x:c>
      <x:c r="G235" s="11" t="str"/>
      <x:c r="H235" s="11" t="str">
        <x:v>Relevant canonical services; verify during review</x:v>
      </x:c>
      <x:c r="I235" s="11" t="str">
        <x:v>QA-0577 to QA-0579</x:v>
      </x:c>
      <x:c r="J235" s="11" t="str">
        <x:v>Not reviewed</x:v>
      </x:c>
      <x:c r="K235" s="11" t="str">
        <x:v>Add exact dialog/button/action test IDs during inventory walk.</x:v>
      </x:c>
    </x:row>
    <x:row r="236" ht="38" customHeight="1">
      <x:c r="A236" s="10" t="str">
        <x:v>Subsection</x:v>
      </x:c>
      <x:c r="B236" s="10" t="str">
        <x:v>/member/events</x:v>
      </x:c>
      <x:c r="C236" s="10" t="str">
        <x:v>payment reference</x:v>
      </x:c>
      <x:c r="D236" s="10" t="str">
        <x:v>Intended permitted role</x:v>
      </x:c>
      <x:c r="E236" s="11" t="str">
        <x:v>Candidate inventory; confirm visible controls</x:v>
      </x:c>
      <x:c r="F236" s="10" t="str">
        <x:v>staff-navigation + workspace components</x:v>
      </x:c>
      <x:c r="G236" s="11" t="str"/>
      <x:c r="H236" s="11" t="str">
        <x:v>Relevant canonical services; verify during review</x:v>
      </x:c>
      <x:c r="I236" s="11" t="str">
        <x:v>QA-0577 to QA-0579</x:v>
      </x:c>
      <x:c r="J236" s="11" t="str">
        <x:v>Not reviewed</x:v>
      </x:c>
      <x:c r="K236" s="11" t="str">
        <x:v>Add exact dialog/button/action test IDs during inventory walk.</x:v>
      </x:c>
    </x:row>
    <x:row r="237" ht="38" customHeight="1">
      <x:c r="A237" s="10" t="str">
        <x:v>Subsection</x:v>
      </x:c>
      <x:c r="B237" s="10" t="str">
        <x:v>/member/events</x:v>
      </x:c>
      <x:c r="C237" s="10" t="str">
        <x:v>resources</x:v>
      </x:c>
      <x:c r="D237" s="10" t="str">
        <x:v>Intended permitted role</x:v>
      </x:c>
      <x:c r="E237" s="11" t="str">
        <x:v>Candidate inventory; confirm visible controls</x:v>
      </x:c>
      <x:c r="F237" s="10" t="str">
        <x:v>staff-navigation + workspace components</x:v>
      </x:c>
      <x:c r="G237" s="11" t="str"/>
      <x:c r="H237" s="11" t="str">
        <x:v>Relevant canonical services; verify during review</x:v>
      </x:c>
      <x:c r="I237" s="11" t="str">
        <x:v>QA-0577 to QA-0579</x:v>
      </x:c>
      <x:c r="J237" s="11" t="str">
        <x:v>Not reviewed</x:v>
      </x:c>
      <x:c r="K237" s="11" t="str">
        <x:v>Add exact dialog/button/action test IDs during inventory walk.</x:v>
      </x:c>
    </x:row>
    <x:row r="238" ht="38" customHeight="1">
      <x:c r="A238" s="10" t="str">
        <x:v>Subsection</x:v>
      </x:c>
      <x:c r="B238" s="10" t="str">
        <x:v>/member/events</x:v>
      </x:c>
      <x:c r="C238" s="10" t="str">
        <x:v>attendance</x:v>
      </x:c>
      <x:c r="D238" s="10" t="str">
        <x:v>Intended permitted role</x:v>
      </x:c>
      <x:c r="E238" s="11" t="str">
        <x:v>Candidate inventory; confirm visible controls</x:v>
      </x:c>
      <x:c r="F238" s="10" t="str">
        <x:v>staff-navigation + workspace components</x:v>
      </x:c>
      <x:c r="G238" s="11" t="str"/>
      <x:c r="H238" s="11" t="str">
        <x:v>Relevant canonical services; verify during review</x:v>
      </x:c>
      <x:c r="I238" s="11" t="str">
        <x:v>QA-0577 to QA-0579</x:v>
      </x:c>
      <x:c r="J238" s="11" t="str">
        <x:v>Not reviewed</x:v>
      </x:c>
      <x:c r="K238" s="11" t="str">
        <x:v>Add exact dialog/button/action test IDs during inventory walk.</x:v>
      </x:c>
    </x:row>
    <x:row r="239" ht="38" customHeight="1">
      <x:c r="A239" s="10" t="str">
        <x:v>Subsection</x:v>
      </x:c>
      <x:c r="B239" s="10" t="str">
        <x:v>/member/events</x:v>
      </x:c>
      <x:c r="C239" s="10" t="str">
        <x:v>perks</x:v>
      </x:c>
      <x:c r="D239" s="10" t="str">
        <x:v>Intended permitted role</x:v>
      </x:c>
      <x:c r="E239" s="11" t="str">
        <x:v>Candidate inventory; confirm visible controls</x:v>
      </x:c>
      <x:c r="F239" s="10" t="str">
        <x:v>staff-navigation + workspace components</x:v>
      </x:c>
      <x:c r="G239" s="11" t="str"/>
      <x:c r="H239" s="11" t="str">
        <x:v>Relevant canonical services; verify during review</x:v>
      </x:c>
      <x:c r="I239" s="11" t="str">
        <x:v>QA-0577 to QA-0579</x:v>
      </x:c>
      <x:c r="J239" s="11" t="str">
        <x:v>Not reviewed</x:v>
      </x:c>
      <x:c r="K239" s="11" t="str">
        <x:v>Add exact dialog/button/action test IDs during inventory walk.</x:v>
      </x:c>
    </x:row>
    <x:row r="240" ht="38" customHeight="1">
      <x:c r="A240" s="10" t="str">
        <x:v>Subsection</x:v>
      </x:c>
      <x:c r="B240" s="10" t="str">
        <x:v>/member/payments</x:v>
      </x:c>
      <x:c r="C240" s="10" t="str">
        <x:v>Payment instructions</x:v>
      </x:c>
      <x:c r="D240" s="10" t="str">
        <x:v>Intended permitted role</x:v>
      </x:c>
      <x:c r="E240" s="11" t="str">
        <x:v>Candidate inventory; confirm visible controls</x:v>
      </x:c>
      <x:c r="F240" s="10" t="str">
        <x:v>staff-navigation + workspace components</x:v>
      </x:c>
      <x:c r="G240" s="11" t="str"/>
      <x:c r="H240" s="11" t="str">
        <x:v>Relevant canonical services; verify during review</x:v>
      </x:c>
      <x:c r="I240" s="11" t="str">
        <x:v>QA-0580 to QA-0582</x:v>
      </x:c>
      <x:c r="J240" s="11" t="str">
        <x:v>Not reviewed</x:v>
      </x:c>
      <x:c r="K240" s="11" t="str">
        <x:v>Add exact dialog/button/action test IDs during inventory walk.</x:v>
      </x:c>
    </x:row>
    <x:row r="241" ht="38" customHeight="1">
      <x:c r="A241" s="10" t="str">
        <x:v>Subsection</x:v>
      </x:c>
      <x:c r="B241" s="10" t="str">
        <x:v>/member/payments</x:v>
      </x:c>
      <x:c r="C241" s="10" t="str">
        <x:v>own payment states</x:v>
      </x:c>
      <x:c r="D241" s="10" t="str">
        <x:v>Intended permitted role</x:v>
      </x:c>
      <x:c r="E241" s="11" t="str">
        <x:v>Candidate inventory; confirm visible controls</x:v>
      </x:c>
      <x:c r="F241" s="10" t="str">
        <x:v>staff-navigation + workspace components</x:v>
      </x:c>
      <x:c r="G241" s="11" t="str"/>
      <x:c r="H241" s="11" t="str">
        <x:v>Relevant canonical services; verify during review</x:v>
      </x:c>
      <x:c r="I241" s="11" t="str">
        <x:v>QA-0580 to QA-0582</x:v>
      </x:c>
      <x:c r="J241" s="11" t="str">
        <x:v>Not reviewed</x:v>
      </x:c>
      <x:c r="K241" s="11" t="str">
        <x:v>Add exact dialog/button/action test IDs during inventory walk.</x:v>
      </x:c>
    </x:row>
    <x:row r="242" ht="38" customHeight="1">
      <x:c r="A242" s="10" t="str">
        <x:v>Subsection</x:v>
      </x:c>
      <x:c r="B242" s="10" t="str">
        <x:v>/member/payments</x:v>
      </x:c>
      <x:c r="C242" s="10" t="str">
        <x:v>booking references</x:v>
      </x:c>
      <x:c r="D242" s="10" t="str">
        <x:v>Intended permitted role</x:v>
      </x:c>
      <x:c r="E242" s="11" t="str">
        <x:v>Candidate inventory; confirm visible controls</x:v>
      </x:c>
      <x:c r="F242" s="10" t="str">
        <x:v>staff-navigation + workspace components</x:v>
      </x:c>
      <x:c r="G242" s="11" t="str"/>
      <x:c r="H242" s="11" t="str">
        <x:v>Relevant canonical services; verify during review</x:v>
      </x:c>
      <x:c r="I242" s="11" t="str">
        <x:v>QA-0580 to QA-0582</x:v>
      </x:c>
      <x:c r="J242" s="11" t="str">
        <x:v>Not reviewed</x:v>
      </x:c>
      <x:c r="K242" s="11" t="str">
        <x:v>Add exact dialog/button/action test IDs during inventory walk.</x:v>
      </x:c>
    </x:row>
    <x:row r="243" ht="38" customHeight="1">
      <x:c r="A243" s="10" t="str">
        <x:v>Subsection</x:v>
      </x:c>
      <x:c r="B243" s="10" t="str">
        <x:v>/member/inquiries</x:v>
      </x:c>
      <x:c r="C243" s="10" t="str">
        <x:v>Own list</x:v>
      </x:c>
      <x:c r="D243" s="10" t="str">
        <x:v>Intended permitted role</x:v>
      </x:c>
      <x:c r="E243" s="11" t="str">
        <x:v>Candidate inventory; confirm visible controls</x:v>
      </x:c>
      <x:c r="F243" s="10" t="str">
        <x:v>staff-navigation + workspace components</x:v>
      </x:c>
      <x:c r="G243" s="11" t="str"/>
      <x:c r="H243" s="11" t="str">
        <x:v>Relevant canonical services; verify during review</x:v>
      </x:c>
      <x:c r="I243" s="11" t="str">
        <x:v>QA-0583 to QA-0585</x:v>
      </x:c>
      <x:c r="J243" s="11" t="str">
        <x:v>Not reviewed</x:v>
      </x:c>
      <x:c r="K243" s="11" t="str">
        <x:v>Add exact dialog/button/action test IDs during inventory walk.</x:v>
      </x:c>
    </x:row>
    <x:row r="244" ht="38" customHeight="1">
      <x:c r="A244" s="10" t="str">
        <x:v>Subsection</x:v>
      </x:c>
      <x:c r="B244" s="10" t="str">
        <x:v>/member/inquiries</x:v>
      </x:c>
      <x:c r="C244" s="10" t="str">
        <x:v>inquiry creation</x:v>
      </x:c>
      <x:c r="D244" s="10" t="str">
        <x:v>Intended permitted role</x:v>
      </x:c>
      <x:c r="E244" s="11" t="str">
        <x:v>Candidate inventory; confirm visible controls</x:v>
      </x:c>
      <x:c r="F244" s="10" t="str">
        <x:v>staff-navigation + workspace components</x:v>
      </x:c>
      <x:c r="G244" s="11" t="str"/>
      <x:c r="H244" s="11" t="str">
        <x:v>Relevant canonical services; verify during review</x:v>
      </x:c>
      <x:c r="I244" s="11" t="str">
        <x:v>QA-0583 to QA-0585</x:v>
      </x:c>
      <x:c r="J244" s="11" t="str">
        <x:v>Not reviewed</x:v>
      </x:c>
      <x:c r="K244" s="11" t="str">
        <x:v>Add exact dialog/button/action test IDs during inventory walk.</x:v>
      </x:c>
    </x:row>
    <x:row r="245" ht="38" customHeight="1">
      <x:c r="A245" s="10" t="str">
        <x:v>Subsection</x:v>
      </x:c>
      <x:c r="B245" s="10" t="str">
        <x:v>/member/inquiries</x:v>
      </x:c>
      <x:c r="C245" s="10" t="str">
        <x:v>details</x:v>
      </x:c>
      <x:c r="D245" s="10" t="str">
        <x:v>Intended permitted role</x:v>
      </x:c>
      <x:c r="E245" s="11" t="str">
        <x:v>Candidate inventory; confirm visible controls</x:v>
      </x:c>
      <x:c r="F245" s="10" t="str">
        <x:v>staff-navigation + workspace components</x:v>
      </x:c>
      <x:c r="G245" s="11" t="str"/>
      <x:c r="H245" s="11" t="str">
        <x:v>Relevant canonical services; verify during review</x:v>
      </x:c>
      <x:c r="I245" s="11" t="str">
        <x:v>QA-0583 to QA-0585</x:v>
      </x:c>
      <x:c r="J245" s="11" t="str">
        <x:v>Not reviewed</x:v>
      </x:c>
      <x:c r="K245" s="11" t="str">
        <x:v>Add exact dialog/button/action test IDs during inventory walk.</x:v>
      </x:c>
    </x:row>
    <x:row r="246" ht="38" customHeight="1">
      <x:c r="A246" s="10" t="str">
        <x:v>Subsection</x:v>
      </x:c>
      <x:c r="B246" s="10" t="str">
        <x:v>/member/security</x:v>
      </x:c>
      <x:c r="C246" s="10" t="str">
        <x:v>Password</x:v>
      </x:c>
      <x:c r="D246" s="10" t="str">
        <x:v>Intended permitted role</x:v>
      </x:c>
      <x:c r="E246" s="11" t="str">
        <x:v>Candidate inventory; confirm visible controls</x:v>
      </x:c>
      <x:c r="F246" s="10" t="str">
        <x:v>staff-navigation + workspace components</x:v>
      </x:c>
      <x:c r="G246" s="11" t="str"/>
      <x:c r="H246" s="11" t="str">
        <x:v>Relevant canonical services; verify during review</x:v>
      </x:c>
      <x:c r="I246" s="11" t="str">
        <x:v>QA-0586 to QA-0588</x:v>
      </x:c>
      <x:c r="J246" s="11" t="str">
        <x:v>Not reviewed</x:v>
      </x:c>
      <x:c r="K246" s="11" t="str">
        <x:v>Add exact dialog/button/action test IDs during inventory walk.</x:v>
      </x:c>
    </x:row>
    <x:row r="247" ht="38" customHeight="1">
      <x:c r="A247" s="10" t="str">
        <x:v>Subsection</x:v>
      </x:c>
      <x:c r="B247" s="10" t="str">
        <x:v>/member/security</x:v>
      </x:c>
      <x:c r="C247" s="10" t="str">
        <x:v>session behavior</x:v>
      </x:c>
      <x:c r="D247" s="10" t="str">
        <x:v>Intended permitted role</x:v>
      </x:c>
      <x:c r="E247" s="11" t="str">
        <x:v>Candidate inventory; confirm visible controls</x:v>
      </x:c>
      <x:c r="F247" s="10" t="str">
        <x:v>staff-navigation + workspace components</x:v>
      </x:c>
      <x:c r="G247" s="11" t="str"/>
      <x:c r="H247" s="11" t="str">
        <x:v>Relevant canonical services; verify during review</x:v>
      </x:c>
      <x:c r="I247" s="11" t="str">
        <x:v>QA-0586 to QA-0588</x:v>
      </x:c>
      <x:c r="J247" s="11" t="str">
        <x:v>Not reviewed</x:v>
      </x:c>
      <x:c r="K247" s="11" t="str">
        <x:v>Add exact dialog/button/action test IDs during inventory walk.</x:v>
      </x:c>
    </x:row>
    <x:row r="248" ht="38" customHeight="1">
      <x:c r="A248" s="10" t="str">
        <x:v>Subsection</x:v>
      </x:c>
      <x:c r="B248" s="10" t="str">
        <x:v>/account/profile</x:v>
      </x:c>
      <x:c r="C248" s="10" t="str">
        <x:v>Own accepted/proposed details</x:v>
      </x:c>
      <x:c r="D248" s="10" t="str">
        <x:v>Intended permitted role</x:v>
      </x:c>
      <x:c r="E248" s="11" t="str">
        <x:v>Candidate inventory; confirm visible controls</x:v>
      </x:c>
      <x:c r="F248" s="10" t="str">
        <x:v>staff-navigation + workspace components</x:v>
      </x:c>
      <x:c r="G248" s="11" t="str"/>
      <x:c r="H248" s="11" t="str">
        <x:v>Relevant canonical services; verify during review</x:v>
      </x:c>
      <x:c r="I248" s="11" t="str">
        <x:v>QA-0589 to QA-0591</x:v>
      </x:c>
      <x:c r="J248" s="11" t="str">
        <x:v>Not reviewed</x:v>
      </x:c>
      <x:c r="K248" s="11" t="str">
        <x:v>Add exact dialog/button/action test IDs during inventory walk.</x:v>
      </x:c>
    </x:row>
    <x:row r="249" ht="38" customHeight="1">
      <x:c r="A249" s="10" t="str">
        <x:v>Subsection</x:v>
      </x:c>
      <x:c r="B249" s="10" t="str">
        <x:v>/account/profile</x:v>
      </x:c>
      <x:c r="C249" s="10" t="str">
        <x:v>photo</x:v>
      </x:c>
      <x:c r="D249" s="10" t="str">
        <x:v>Intended permitted role</x:v>
      </x:c>
      <x:c r="E249" s="11" t="str">
        <x:v>Candidate inventory; confirm visible controls</x:v>
      </x:c>
      <x:c r="F249" s="10" t="str">
        <x:v>staff-navigation + workspace components</x:v>
      </x:c>
      <x:c r="G249" s="11" t="str"/>
      <x:c r="H249" s="11" t="str">
        <x:v>Relevant canonical services; verify during review</x:v>
      </x:c>
      <x:c r="I249" s="11" t="str">
        <x:v>QA-0589 to QA-0591</x:v>
      </x:c>
      <x:c r="J249" s="11" t="str">
        <x:v>Not reviewed</x:v>
      </x:c>
      <x:c r="K249" s="11" t="str">
        <x:v>Add exact dialog/button/action test IDs during inventory walk.</x:v>
      </x:c>
    </x:row>
    <x:row r="250" ht="38" customHeight="1">
      <x:c r="A250" s="10" t="str">
        <x:v>Subsection</x:v>
      </x:c>
      <x:c r="B250" s="10" t="str">
        <x:v>/account/profile</x:v>
      </x:c>
      <x:c r="C250" s="10" t="str">
        <x:v>preferences</x:v>
      </x:c>
      <x:c r="D250" s="10" t="str">
        <x:v>Intended permitted role</x:v>
      </x:c>
      <x:c r="E250" s="11" t="str">
        <x:v>Candidate inventory; confirm visible controls</x:v>
      </x:c>
      <x:c r="F250" s="10" t="str">
        <x:v>staff-navigation + workspace components</x:v>
      </x:c>
      <x:c r="G250" s="11" t="str"/>
      <x:c r="H250" s="11" t="str">
        <x:v>Relevant canonical services; verify during review</x:v>
      </x:c>
      <x:c r="I250" s="11" t="str">
        <x:v>QA-0589 to QA-0591</x:v>
      </x:c>
      <x:c r="J250" s="11" t="str">
        <x:v>Not reviewed</x:v>
      </x:c>
      <x:c r="K250" s="11" t="str">
        <x:v>Add exact dialog/button/action test IDs during inventory walk.</x:v>
      </x:c>
    </x:row>
    <x:row r="251" ht="38" customHeight="1">
      <x:c r="A251" s="10" t="str">
        <x:v>Database entity</x:v>
      </x:c>
      <x:c r="B251" s="10" t="str">
        <x:v>tpa.staff_roles</x:v>
      </x:c>
      <x:c r="C251" s="10" t="str">
        <x:v>Keys / ownership / constraints / state / audit / reconciliation</x:v>
      </x:c>
      <x:c r="D251" s="10" t="str">
        <x:v>Technical tester</x:v>
      </x:c>
      <x:c r="E251" s="11" t="str">
        <x:v>Candidate schema; compare deployed ledger</x:v>
      </x:c>
      <x:c r="F251" s="10" t="str">
        <x:v>migrations/001_platform_access.sql</x:v>
      </x:c>
      <x:c r="G251" s="11" t="str">
        <x:v>tpa.staff_roles</x:v>
      </x:c>
      <x:c r="H251" s="11" t="str">
        <x:v>PostgreSQL</x:v>
      </x:c>
      <x:c r="I251" s="11" t="str">
        <x:v>QA-0248 to QA-0249; QA-0252</x:v>
      </x:c>
      <x:c r="J251" s="11" t="str">
        <x:v>Not reviewed</x:v>
      </x:c>
      <x:c r="K251" s="11" t="str">
        <x:v>Entity-specific queries and E2E IDs must be added after tracing live schema.</x:v>
      </x:c>
    </x:row>
    <x:row r="252" ht="38" customHeight="1">
      <x:c r="A252" s="10" t="str">
        <x:v>Database entity</x:v>
      </x:c>
      <x:c r="B252" s="10" t="str">
        <x:v>tpa.private_documents</x:v>
      </x:c>
      <x:c r="C252" s="10" t="str">
        <x:v>Keys / ownership / constraints / state / audit / reconciliation</x:v>
      </x:c>
      <x:c r="D252" s="10" t="str">
        <x:v>Technical tester</x:v>
      </x:c>
      <x:c r="E252" s="11" t="str">
        <x:v>Candidate schema; compare deployed ledger</x:v>
      </x:c>
      <x:c r="F252" s="10" t="str">
        <x:v>migrations/001_platform_access.sql</x:v>
      </x:c>
      <x:c r="G252" s="11" t="str">
        <x:v>tpa.private_documents</x:v>
      </x:c>
      <x:c r="H252" s="11" t="str">
        <x:v>PostgreSQL</x:v>
      </x:c>
      <x:c r="I252" s="11" t="str">
        <x:v>QA-0248 to QA-0249; QA-0252</x:v>
      </x:c>
      <x:c r="J252" s="11" t="str">
        <x:v>Not reviewed</x:v>
      </x:c>
      <x:c r="K252" s="11" t="str">
        <x:v>Entity-specific queries and E2E IDs must be added after tracing live schema.</x:v>
      </x:c>
    </x:row>
    <x:row r="253" ht="38" customHeight="1">
      <x:c r="A253" s="10" t="str">
        <x:v>Database entity</x:v>
      </x:c>
      <x:c r="B253" s="10" t="str">
        <x:v>tpa.audit_events</x:v>
      </x:c>
      <x:c r="C253" s="10" t="str">
        <x:v>Keys / ownership / constraints / state / audit / reconciliation</x:v>
      </x:c>
      <x:c r="D253" s="10" t="str">
        <x:v>Technical tester</x:v>
      </x:c>
      <x:c r="E253" s="11" t="str">
        <x:v>Candidate schema; compare deployed ledger</x:v>
      </x:c>
      <x:c r="F253" s="10" t="str">
        <x:v>migrations/001_platform_access.sql</x:v>
      </x:c>
      <x:c r="G253" s="11" t="str">
        <x:v>tpa.audit_events</x:v>
      </x:c>
      <x:c r="H253" s="11" t="str">
        <x:v>PostgreSQL</x:v>
      </x:c>
      <x:c r="I253" s="11" t="str">
        <x:v>QA-0248 to QA-0249; QA-0252</x:v>
      </x:c>
      <x:c r="J253" s="11" t="str">
        <x:v>Not reviewed</x:v>
      </x:c>
      <x:c r="K253" s="11" t="str">
        <x:v>Entity-specific queries and E2E IDs must be added after tracing live schema.</x:v>
      </x:c>
    </x:row>
    <x:row r="254" ht="38" customHeight="1">
      <x:c r="A254" s="10" t="str">
        <x:v>Database entity</x:v>
      </x:c>
      <x:c r="B254" s="10" t="str">
        <x:v>"user"</x:v>
      </x:c>
      <x:c r="C254" s="10" t="str">
        <x:v>Keys / ownership / constraints / state / audit / reconciliation</x:v>
      </x:c>
      <x:c r="D254" s="10" t="str">
        <x:v>Technical tester</x:v>
      </x:c>
      <x:c r="E254" s="11" t="str">
        <x:v>Candidate schema; compare deployed ledger</x:v>
      </x:c>
      <x:c r="F254" s="10" t="str">
        <x:v>migrations/002_better_auth.sql</x:v>
      </x:c>
      <x:c r="G254" s="11" t="str">
        <x:v>"user"</x:v>
      </x:c>
      <x:c r="H254" s="11" t="str">
        <x:v>PostgreSQL</x:v>
      </x:c>
      <x:c r="I254" s="11" t="str">
        <x:v>QA-0248 to QA-0249; QA-0252</x:v>
      </x:c>
      <x:c r="J254" s="11" t="str">
        <x:v>Not reviewed</x:v>
      </x:c>
      <x:c r="K254" s="11" t="str">
        <x:v>Entity-specific queries and E2E IDs must be added after tracing live schema.</x:v>
      </x:c>
    </x:row>
    <x:row r="255" ht="38" customHeight="1">
      <x:c r="A255" s="10" t="str">
        <x:v>Database entity</x:v>
      </x:c>
      <x:c r="B255" s="10" t="str">
        <x:v>"session"</x:v>
      </x:c>
      <x:c r="C255" s="10" t="str">
        <x:v>Keys / ownership / constraints / state / audit / reconciliation</x:v>
      </x:c>
      <x:c r="D255" s="10" t="str">
        <x:v>Technical tester</x:v>
      </x:c>
      <x:c r="E255" s="11" t="str">
        <x:v>Candidate schema; compare deployed ledger</x:v>
      </x:c>
      <x:c r="F255" s="10" t="str">
        <x:v>migrations/002_better_auth.sql</x:v>
      </x:c>
      <x:c r="G255" s="11" t="str">
        <x:v>"session"</x:v>
      </x:c>
      <x:c r="H255" s="11" t="str">
        <x:v>PostgreSQL</x:v>
      </x:c>
      <x:c r="I255" s="11" t="str">
        <x:v>QA-0248 to QA-0249; QA-0252</x:v>
      </x:c>
      <x:c r="J255" s="11" t="str">
        <x:v>Not reviewed</x:v>
      </x:c>
      <x:c r="K255" s="11" t="str">
        <x:v>Entity-specific queries and E2E IDs must be added after tracing live schema.</x:v>
      </x:c>
    </x:row>
    <x:row r="256" ht="38" customHeight="1">
      <x:c r="A256" s="10" t="str">
        <x:v>Database entity</x:v>
      </x:c>
      <x:c r="B256" s="10" t="str">
        <x:v>"account"</x:v>
      </x:c>
      <x:c r="C256" s="10" t="str">
        <x:v>Keys / ownership / constraints / state / audit / reconciliation</x:v>
      </x:c>
      <x:c r="D256" s="10" t="str">
        <x:v>Technical tester</x:v>
      </x:c>
      <x:c r="E256" s="11" t="str">
        <x:v>Candidate schema; compare deployed ledger</x:v>
      </x:c>
      <x:c r="F256" s="10" t="str">
        <x:v>migrations/002_better_auth.sql</x:v>
      </x:c>
      <x:c r="G256" s="11" t="str">
        <x:v>"account"</x:v>
      </x:c>
      <x:c r="H256" s="11" t="str">
        <x:v>PostgreSQL</x:v>
      </x:c>
      <x:c r="I256" s="11" t="str">
        <x:v>QA-0248 to QA-0249; QA-0252</x:v>
      </x:c>
      <x:c r="J256" s="11" t="str">
        <x:v>Not reviewed</x:v>
      </x:c>
      <x:c r="K256" s="11" t="str">
        <x:v>Entity-specific queries and E2E IDs must be added after tracing live schema.</x:v>
      </x:c>
    </x:row>
    <x:row r="257" ht="38" customHeight="1">
      <x:c r="A257" s="10" t="str">
        <x:v>Database entity</x:v>
      </x:c>
      <x:c r="B257" s="10" t="str">
        <x:v>"verification"</x:v>
      </x:c>
      <x:c r="C257" s="10" t="str">
        <x:v>Keys / ownership / constraints / state / audit / reconciliation</x:v>
      </x:c>
      <x:c r="D257" s="10" t="str">
        <x:v>Technical tester</x:v>
      </x:c>
      <x:c r="E257" s="11" t="str">
        <x:v>Candidate schema; compare deployed ledger</x:v>
      </x:c>
      <x:c r="F257" s="10" t="str">
        <x:v>migrations/002_better_auth.sql</x:v>
      </x:c>
      <x:c r="G257" s="11" t="str">
        <x:v>"verification"</x:v>
      </x:c>
      <x:c r="H257" s="11" t="str">
        <x:v>PostgreSQL</x:v>
      </x:c>
      <x:c r="I257" s="11" t="str">
        <x:v>QA-0248 to QA-0249; QA-0252</x:v>
      </x:c>
      <x:c r="J257" s="11" t="str">
        <x:v>Not reviewed</x:v>
      </x:c>
      <x:c r="K257" s="11" t="str">
        <x:v>Entity-specific queries and E2E IDs must be added after tracing live schema.</x:v>
      </x:c>
    </x:row>
    <x:row r="258" ht="38" customHeight="1">
      <x:c r="A258" s="10" t="str">
        <x:v>Database entity</x:v>
      </x:c>
      <x:c r="B258" s="10" t="str">
        <x:v>tpa.member_profiles</x:v>
      </x:c>
      <x:c r="C258" s="10" t="str">
        <x:v>Keys / ownership / constraints / state / audit / reconciliation</x:v>
      </x:c>
      <x:c r="D258" s="10" t="str">
        <x:v>Technical tester</x:v>
      </x:c>
      <x:c r="E258" s="11" t="str">
        <x:v>Candidate schema; compare deployed ledger</x:v>
      </x:c>
      <x:c r="F258" s="10" t="str">
        <x:v>migrations/003_identity_links.sql</x:v>
      </x:c>
      <x:c r="G258" s="11" t="str">
        <x:v>tpa.member_profiles</x:v>
      </x:c>
      <x:c r="H258" s="11" t="str">
        <x:v>PostgreSQL</x:v>
      </x:c>
      <x:c r="I258" s="11" t="str">
        <x:v>QA-0248 to QA-0249; QA-0252</x:v>
      </x:c>
      <x:c r="J258" s="11" t="str">
        <x:v>Not reviewed</x:v>
      </x:c>
      <x:c r="K258" s="11" t="str">
        <x:v>Entity-specific queries and E2E IDs must be added after tracing live schema.</x:v>
      </x:c>
    </x:row>
    <x:row r="259" ht="38" customHeight="1">
      <x:c r="A259" s="10" t="str">
        <x:v>Database entity</x:v>
      </x:c>
      <x:c r="B259" s="10" t="str">
        <x:v>tpa.newsletter_consents</x:v>
      </x:c>
      <x:c r="C259" s="10" t="str">
        <x:v>Keys / ownership / constraints / state / audit / reconciliation</x:v>
      </x:c>
      <x:c r="D259" s="10" t="str">
        <x:v>Technical tester</x:v>
      </x:c>
      <x:c r="E259" s="11" t="str">
        <x:v>Candidate schema; compare deployed ledger</x:v>
      </x:c>
      <x:c r="F259" s="10" t="str">
        <x:v>migrations/003_identity_links.sql</x:v>
      </x:c>
      <x:c r="G259" s="11" t="str">
        <x:v>tpa.newsletter_consents</x:v>
      </x:c>
      <x:c r="H259" s="11" t="str">
        <x:v>PostgreSQL</x:v>
      </x:c>
      <x:c r="I259" s="11" t="str">
        <x:v>QA-0248 to QA-0249; QA-0252</x:v>
      </x:c>
      <x:c r="J259" s="11" t="str">
        <x:v>Not reviewed</x:v>
      </x:c>
      <x:c r="K259" s="11" t="str">
        <x:v>Entity-specific queries and E2E IDs must be added after tracing live schema.</x:v>
      </x:c>
    </x:row>
    <x:row r="260" ht="38" customHeight="1">
      <x:c r="A260" s="10" t="str">
        <x:v>Database entity</x:v>
      </x:c>
      <x:c r="B260" s="10" t="str">
        <x:v>tpa.operator_approved_identities</x:v>
      </x:c>
      <x:c r="C260" s="10" t="str">
        <x:v>Keys / ownership / constraints / state / audit / reconciliation</x:v>
      </x:c>
      <x:c r="D260" s="10" t="str">
        <x:v>Technical tester</x:v>
      </x:c>
      <x:c r="E260" s="11" t="str">
        <x:v>Candidate schema; compare deployed ledger</x:v>
      </x:c>
      <x:c r="F260" s="10" t="str">
        <x:v>migrations/004_operator_identity.sql</x:v>
      </x:c>
      <x:c r="G260" s="11" t="str">
        <x:v>tpa.operator_approved_identities</x:v>
      </x:c>
      <x:c r="H260" s="11" t="str">
        <x:v>PostgreSQL</x:v>
      </x:c>
      <x:c r="I260" s="11" t="str">
        <x:v>QA-0248 to QA-0249; QA-0252</x:v>
      </x:c>
      <x:c r="J260" s="11" t="str">
        <x:v>Not reviewed</x:v>
      </x:c>
      <x:c r="K260" s="11" t="str">
        <x:v>Entity-specific queries and E2E IDs must be added after tracing live schema.</x:v>
      </x:c>
    </x:row>
    <x:row r="261" ht="38" customHeight="1">
      <x:c r="A261" s="10" t="str">
        <x:v>Database entity</x:v>
      </x:c>
      <x:c r="B261" s="10" t="str">
        <x:v>tpa.content_entries</x:v>
      </x:c>
      <x:c r="C261" s="10" t="str">
        <x:v>Keys / ownership / constraints / state / audit / reconciliation</x:v>
      </x:c>
      <x:c r="D261" s="10" t="str">
        <x:v>Technical tester</x:v>
      </x:c>
      <x:c r="E261" s="11" t="str">
        <x:v>Candidate schema; compare deployed ledger</x:v>
      </x:c>
      <x:c r="F261" s="10" t="str">
        <x:v>migrations/005_operations.sql</x:v>
      </x:c>
      <x:c r="G261" s="11" t="str">
        <x:v>tpa.content_entries</x:v>
      </x:c>
      <x:c r="H261" s="11" t="str">
        <x:v>PostgreSQL</x:v>
      </x:c>
      <x:c r="I261" s="11" t="str">
        <x:v>QA-0248 to QA-0249; QA-0252</x:v>
      </x:c>
      <x:c r="J261" s="11" t="str">
        <x:v>Not reviewed</x:v>
      </x:c>
      <x:c r="K261" s="11" t="str">
        <x:v>Entity-specific queries and E2E IDs must be added after tracing live schema.</x:v>
      </x:c>
    </x:row>
    <x:row r="262" ht="38" customHeight="1">
      <x:c r="A262" s="10" t="str">
        <x:v>Database entity</x:v>
      </x:c>
      <x:c r="B262" s="10" t="str">
        <x:v>tpa.content_revisions</x:v>
      </x:c>
      <x:c r="C262" s="10" t="str">
        <x:v>Keys / ownership / constraints / state / audit / reconciliation</x:v>
      </x:c>
      <x:c r="D262" s="10" t="str">
        <x:v>Technical tester</x:v>
      </x:c>
      <x:c r="E262" s="11" t="str">
        <x:v>Candidate schema; compare deployed ledger</x:v>
      </x:c>
      <x:c r="F262" s="10" t="str">
        <x:v>migrations/005_operations.sql</x:v>
      </x:c>
      <x:c r="G262" s="11" t="str">
        <x:v>tpa.content_revisions</x:v>
      </x:c>
      <x:c r="H262" s="11" t="str">
        <x:v>PostgreSQL</x:v>
      </x:c>
      <x:c r="I262" s="11" t="str">
        <x:v>QA-0248 to QA-0249; QA-0252</x:v>
      </x:c>
      <x:c r="J262" s="11" t="str">
        <x:v>Not reviewed</x:v>
      </x:c>
      <x:c r="K262" s="11" t="str">
        <x:v>Entity-specific queries and E2E IDs must be added after tracing live schema.</x:v>
      </x:c>
    </x:row>
    <x:row r="263" ht="38" customHeight="1">
      <x:c r="A263" s="10" t="str">
        <x:v>Database entity</x:v>
      </x:c>
      <x:c r="B263" s="10" t="str">
        <x:v>tpa.application_drafts</x:v>
      </x:c>
      <x:c r="C263" s="10" t="str">
        <x:v>Keys / ownership / constraints / state / audit / reconciliation</x:v>
      </x:c>
      <x:c r="D263" s="10" t="str">
        <x:v>Technical tester</x:v>
      </x:c>
      <x:c r="E263" s="11" t="str">
        <x:v>Candidate schema; compare deployed ledger</x:v>
      </x:c>
      <x:c r="F263" s="10" t="str">
        <x:v>migrations/005_operations.sql</x:v>
      </x:c>
      <x:c r="G263" s="11" t="str">
        <x:v>tpa.application_drafts</x:v>
      </x:c>
      <x:c r="H263" s="11" t="str">
        <x:v>PostgreSQL</x:v>
      </x:c>
      <x:c r="I263" s="11" t="str">
        <x:v>QA-0248 to QA-0249; QA-0252</x:v>
      </x:c>
      <x:c r="J263" s="11" t="str">
        <x:v>Not reviewed</x:v>
      </x:c>
      <x:c r="K263" s="11" t="str">
        <x:v>Entity-specific queries and E2E IDs must be added after tracing live schema.</x:v>
      </x:c>
    </x:row>
    <x:row r="264" ht="38" customHeight="1">
      <x:c r="A264" s="10" t="str">
        <x:v>Database entity</x:v>
      </x:c>
      <x:c r="B264" s="10" t="str">
        <x:v>tpa.application_documents</x:v>
      </x:c>
      <x:c r="C264" s="10" t="str">
        <x:v>Keys / ownership / constraints / state / audit / reconciliation</x:v>
      </x:c>
      <x:c r="D264" s="10" t="str">
        <x:v>Technical tester</x:v>
      </x:c>
      <x:c r="E264" s="11" t="str">
        <x:v>Candidate schema; compare deployed ledger</x:v>
      </x:c>
      <x:c r="F264" s="10" t="str">
        <x:v>migrations/005_operations.sql</x:v>
      </x:c>
      <x:c r="G264" s="11" t="str">
        <x:v>tpa.application_documents</x:v>
      </x:c>
      <x:c r="H264" s="11" t="str">
        <x:v>PostgreSQL</x:v>
      </x:c>
      <x:c r="I264" s="11" t="str">
        <x:v>QA-0248 to QA-0249; QA-0252</x:v>
      </x:c>
      <x:c r="J264" s="11" t="str">
        <x:v>Not reviewed</x:v>
      </x:c>
      <x:c r="K264" s="11" t="str">
        <x:v>Entity-specific queries and E2E IDs must be added after tracing live schema.</x:v>
      </x:c>
    </x:row>
    <x:row r="265" ht="38" customHeight="1">
      <x:c r="A265" s="10" t="str">
        <x:v>Database entity</x:v>
      </x:c>
      <x:c r="B265" s="10" t="str">
        <x:v>tpa.events</x:v>
      </x:c>
      <x:c r="C265" s="10" t="str">
        <x:v>Keys / ownership / constraints / state / audit / reconciliation</x:v>
      </x:c>
      <x:c r="D265" s="10" t="str">
        <x:v>Technical tester</x:v>
      </x:c>
      <x:c r="E265" s="11" t="str">
        <x:v>Candidate schema; compare deployed ledger</x:v>
      </x:c>
      <x:c r="F265" s="10" t="str">
        <x:v>migrations/005_operations.sql</x:v>
      </x:c>
      <x:c r="G265" s="11" t="str">
        <x:v>tpa.events</x:v>
      </x:c>
      <x:c r="H265" s="11" t="str">
        <x:v>PostgreSQL</x:v>
      </x:c>
      <x:c r="I265" s="11" t="str">
        <x:v>QA-0248 to QA-0249; QA-0252</x:v>
      </x:c>
      <x:c r="J265" s="11" t="str">
        <x:v>Not reviewed</x:v>
      </x:c>
      <x:c r="K265" s="11" t="str">
        <x:v>Entity-specific queries and E2E IDs must be added after tracing live schema.</x:v>
      </x:c>
    </x:row>
    <x:row r="266" ht="38" customHeight="1">
      <x:c r="A266" s="10" t="str">
        <x:v>Database entity</x:v>
      </x:c>
      <x:c r="B266" s="10" t="str">
        <x:v>tpa.event_registrations</x:v>
      </x:c>
      <x:c r="C266" s="10" t="str">
        <x:v>Keys / ownership / constraints / state / audit / reconciliation</x:v>
      </x:c>
      <x:c r="D266" s="10" t="str">
        <x:v>Technical tester</x:v>
      </x:c>
      <x:c r="E266" s="11" t="str">
        <x:v>Candidate schema; compare deployed ledger</x:v>
      </x:c>
      <x:c r="F266" s="10" t="str">
        <x:v>migrations/005_operations.sql</x:v>
      </x:c>
      <x:c r="G266" s="11" t="str">
        <x:v>tpa.event_registrations</x:v>
      </x:c>
      <x:c r="H266" s="11" t="str">
        <x:v>PostgreSQL</x:v>
      </x:c>
      <x:c r="I266" s="11" t="str">
        <x:v>QA-0248 to QA-0249; QA-0252</x:v>
      </x:c>
      <x:c r="J266" s="11" t="str">
        <x:v>Not reviewed</x:v>
      </x:c>
      <x:c r="K266" s="11" t="str">
        <x:v>Entity-specific queries and E2E IDs must be added after tracing live schema.</x:v>
      </x:c>
    </x:row>
    <x:row r="267" ht="38" customHeight="1">
      <x:c r="A267" s="10" t="str">
        <x:v>Database entity</x:v>
      </x:c>
      <x:c r="B267" s="10" t="str">
        <x:v>tpa.event_attendance</x:v>
      </x:c>
      <x:c r="C267" s="10" t="str">
        <x:v>Keys / ownership / constraints / state / audit / reconciliation</x:v>
      </x:c>
      <x:c r="D267" s="10" t="str">
        <x:v>Technical tester</x:v>
      </x:c>
      <x:c r="E267" s="11" t="str">
        <x:v>Candidate schema; compare deployed ledger</x:v>
      </x:c>
      <x:c r="F267" s="10" t="str">
        <x:v>migrations/005_operations.sql</x:v>
      </x:c>
      <x:c r="G267" s="11" t="str">
        <x:v>tpa.event_attendance</x:v>
      </x:c>
      <x:c r="H267" s="11" t="str">
        <x:v>PostgreSQL</x:v>
      </x:c>
      <x:c r="I267" s="11" t="str">
        <x:v>QA-0248 to QA-0249; QA-0252</x:v>
      </x:c>
      <x:c r="J267" s="11" t="str">
        <x:v>Not reviewed</x:v>
      </x:c>
      <x:c r="K267" s="11" t="str">
        <x:v>Entity-specific queries and E2E IDs must be added after tracing live schema.</x:v>
      </x:c>
    </x:row>
    <x:row r="268" ht="38" customHeight="1">
      <x:c r="A268" s="10" t="str">
        <x:v>Database entity</x:v>
      </x:c>
      <x:c r="B268" s="10" t="str">
        <x:v>tpa.inquiries</x:v>
      </x:c>
      <x:c r="C268" s="10" t="str">
        <x:v>Keys / ownership / constraints / state / audit / reconciliation</x:v>
      </x:c>
      <x:c r="D268" s="10" t="str">
        <x:v>Technical tester</x:v>
      </x:c>
      <x:c r="E268" s="11" t="str">
        <x:v>Candidate schema; compare deployed ledger</x:v>
      </x:c>
      <x:c r="F268" s="10" t="str">
        <x:v>migrations/005_operations.sql</x:v>
      </x:c>
      <x:c r="G268" s="11" t="str">
        <x:v>tpa.inquiries</x:v>
      </x:c>
      <x:c r="H268" s="11" t="str">
        <x:v>PostgreSQL</x:v>
      </x:c>
      <x:c r="I268" s="11" t="str">
        <x:v>QA-0248 to QA-0249; QA-0252</x:v>
      </x:c>
      <x:c r="J268" s="11" t="str">
        <x:v>Not reviewed</x:v>
      </x:c>
      <x:c r="K268" s="11" t="str">
        <x:v>Entity-specific queries and E2E IDs must be added after tracing live schema.</x:v>
      </x:c>
    </x:row>
    <x:row r="269" ht="38" customHeight="1">
      <x:c r="A269" s="10" t="str">
        <x:v>Database entity</x:v>
      </x:c>
      <x:c r="B269" s="10" t="str">
        <x:v>tpa.inquiry_notes</x:v>
      </x:c>
      <x:c r="C269" s="10" t="str">
        <x:v>Keys / ownership / constraints / state / audit / reconciliation</x:v>
      </x:c>
      <x:c r="D269" s="10" t="str">
        <x:v>Technical tester</x:v>
      </x:c>
      <x:c r="E269" s="11" t="str">
        <x:v>Candidate schema; compare deployed ledger</x:v>
      </x:c>
      <x:c r="F269" s="10" t="str">
        <x:v>migrations/005_operations.sql</x:v>
      </x:c>
      <x:c r="G269" s="11" t="str">
        <x:v>tpa.inquiry_notes</x:v>
      </x:c>
      <x:c r="H269" s="11" t="str">
        <x:v>PostgreSQL</x:v>
      </x:c>
      <x:c r="I269" s="11" t="str">
        <x:v>QA-0248 to QA-0249; QA-0252</x:v>
      </x:c>
      <x:c r="J269" s="11" t="str">
        <x:v>Not reviewed</x:v>
      </x:c>
      <x:c r="K269" s="11" t="str">
        <x:v>Entity-specific queries and E2E IDs must be added after tracing live schema.</x:v>
      </x:c>
    </x:row>
    <x:row r="270" ht="38" customHeight="1">
      <x:c r="A270" s="10" t="str">
        <x:v>Database entity</x:v>
      </x:c>
      <x:c r="B270" s="10" t="str">
        <x:v>tpa.flyer_templates</x:v>
      </x:c>
      <x:c r="C270" s="10" t="str">
        <x:v>Keys / ownership / constraints / state / audit / reconciliation</x:v>
      </x:c>
      <x:c r="D270" s="10" t="str">
        <x:v>Technical tester</x:v>
      </x:c>
      <x:c r="E270" s="11" t="str">
        <x:v>Candidate schema; compare deployed ledger</x:v>
      </x:c>
      <x:c r="F270" s="10" t="str">
        <x:v>migrations/006_publishing_templates.sql</x:v>
      </x:c>
      <x:c r="G270" s="11" t="str">
        <x:v>tpa.flyer_templates</x:v>
      </x:c>
      <x:c r="H270" s="11" t="str">
        <x:v>PostgreSQL</x:v>
      </x:c>
      <x:c r="I270" s="11" t="str">
        <x:v>QA-0248 to QA-0249; QA-0252</x:v>
      </x:c>
      <x:c r="J270" s="11" t="str">
        <x:v>Not reviewed</x:v>
      </x:c>
      <x:c r="K270" s="11" t="str">
        <x:v>Entity-specific queries and E2E IDs must be added after tracing live schema.</x:v>
      </x:c>
    </x:row>
    <x:row r="271" ht="38" customHeight="1">
      <x:c r="A271" s="10" t="str">
        <x:v>Database entity</x:v>
      </x:c>
      <x:c r="B271" s="10" t="str">
        <x:v>tpa.communication_templates</x:v>
      </x:c>
      <x:c r="C271" s="10" t="str">
        <x:v>Keys / ownership / constraints / state / audit / reconciliation</x:v>
      </x:c>
      <x:c r="D271" s="10" t="str">
        <x:v>Technical tester</x:v>
      </x:c>
      <x:c r="E271" s="11" t="str">
        <x:v>Candidate schema; compare deployed ledger</x:v>
      </x:c>
      <x:c r="F271" s="10" t="str">
        <x:v>migrations/006_publishing_templates.sql</x:v>
      </x:c>
      <x:c r="G271" s="11" t="str">
        <x:v>tpa.communication_templates</x:v>
      </x:c>
      <x:c r="H271" s="11" t="str">
        <x:v>PostgreSQL</x:v>
      </x:c>
      <x:c r="I271" s="11" t="str">
        <x:v>QA-0248 to QA-0249; QA-0252</x:v>
      </x:c>
      <x:c r="J271" s="11" t="str">
        <x:v>Not reviewed</x:v>
      </x:c>
      <x:c r="K271" s="11" t="str">
        <x:v>Entity-specific queries and E2E IDs must be added after tracing live schema.</x:v>
      </x:c>
    </x:row>
    <x:row r="272" ht="38" customHeight="1">
      <x:c r="A272" s="10" t="str">
        <x:v>Database entity</x:v>
      </x:c>
      <x:c r="B272" s="10" t="str">
        <x:v>tpa.public_media</x:v>
      </x:c>
      <x:c r="C272" s="10" t="str">
        <x:v>Keys / ownership / constraints / state / audit / reconciliation</x:v>
      </x:c>
      <x:c r="D272" s="10" t="str">
        <x:v>Technical tester</x:v>
      </x:c>
      <x:c r="E272" s="11" t="str">
        <x:v>Candidate schema; compare deployed ledger</x:v>
      </x:c>
      <x:c r="F272" s="10" t="str">
        <x:v>migrations/007_public_media.sql</x:v>
      </x:c>
      <x:c r="G272" s="11" t="str">
        <x:v>tpa.public_media</x:v>
      </x:c>
      <x:c r="H272" s="11" t="str">
        <x:v>PostgreSQL</x:v>
      </x:c>
      <x:c r="I272" s="11" t="str">
        <x:v>QA-0248 to QA-0249; QA-0252</x:v>
      </x:c>
      <x:c r="J272" s="11" t="str">
        <x:v>Not reviewed</x:v>
      </x:c>
      <x:c r="K272" s="11" t="str">
        <x:v>Entity-specific queries and E2E IDs must be added after tracing live schema.</x:v>
      </x:c>
    </x:row>
    <x:row r="273" ht="38" customHeight="1">
      <x:c r="A273" s="10" t="str">
        <x:v>Database entity</x:v>
      </x:c>
      <x:c r="B273" s="10" t="str">
        <x:v>tpa.payment_qr_images</x:v>
      </x:c>
      <x:c r="C273" s="10" t="str">
        <x:v>Keys / ownership / constraints / state / audit / reconciliation</x:v>
      </x:c>
      <x:c r="D273" s="10" t="str">
        <x:v>Technical tester</x:v>
      </x:c>
      <x:c r="E273" s="11" t="str">
        <x:v>Candidate schema; compare deployed ledger</x:v>
      </x:c>
      <x:c r="F273" s="10" t="str">
        <x:v>migrations/008_payment_details.sql</x:v>
      </x:c>
      <x:c r="G273" s="11" t="str">
        <x:v>tpa.payment_qr_images</x:v>
      </x:c>
      <x:c r="H273" s="11" t="str">
        <x:v>PostgreSQL</x:v>
      </x:c>
      <x:c r="I273" s="11" t="str">
        <x:v>QA-0248 to QA-0249; QA-0252</x:v>
      </x:c>
      <x:c r="J273" s="11" t="str">
        <x:v>Not reviewed</x:v>
      </x:c>
      <x:c r="K273" s="11" t="str">
        <x:v>Entity-specific queries and E2E IDs must be added after tracing live schema.</x:v>
      </x:c>
    </x:row>
    <x:row r="274" ht="38" customHeight="1">
      <x:c r="A274" s="10" t="str">
        <x:v>Database entity</x:v>
      </x:c>
      <x:c r="B274" s="10" t="str">
        <x:v>tpa.payment_details</x:v>
      </x:c>
      <x:c r="C274" s="10" t="str">
        <x:v>Keys / ownership / constraints / state / audit / reconciliation</x:v>
      </x:c>
      <x:c r="D274" s="10" t="str">
        <x:v>Technical tester</x:v>
      </x:c>
      <x:c r="E274" s="11" t="str">
        <x:v>Candidate schema; compare deployed ledger</x:v>
      </x:c>
      <x:c r="F274" s="10" t="str">
        <x:v>migrations/008_payment_details.sql</x:v>
      </x:c>
      <x:c r="G274" s="11" t="str">
        <x:v>tpa.payment_details</x:v>
      </x:c>
      <x:c r="H274" s="11" t="str">
        <x:v>PostgreSQL</x:v>
      </x:c>
      <x:c r="I274" s="11" t="str">
        <x:v>QA-0248 to QA-0249; QA-0252</x:v>
      </x:c>
      <x:c r="J274" s="11" t="str">
        <x:v>Not reviewed</x:v>
      </x:c>
      <x:c r="K274" s="11" t="str">
        <x:v>Entity-specific queries and E2E IDs must be added after tracing live schema.</x:v>
      </x:c>
    </x:row>
    <x:row r="275" ht="38" customHeight="1">
      <x:c r="A275" s="10" t="str">
        <x:v>Database entity</x:v>
      </x:c>
      <x:c r="B275" s="10" t="str">
        <x:v>tpa.payment_detail_revisions</x:v>
      </x:c>
      <x:c r="C275" s="10" t="str">
        <x:v>Keys / ownership / constraints / state / audit / reconciliation</x:v>
      </x:c>
      <x:c r="D275" s="10" t="str">
        <x:v>Technical tester</x:v>
      </x:c>
      <x:c r="E275" s="11" t="str">
        <x:v>Candidate schema; compare deployed ledger</x:v>
      </x:c>
      <x:c r="F275" s="10" t="str">
        <x:v>migrations/008_payment_details.sql</x:v>
      </x:c>
      <x:c r="G275" s="11" t="str">
        <x:v>tpa.payment_detail_revisions</x:v>
      </x:c>
      <x:c r="H275" s="11" t="str">
        <x:v>PostgreSQL</x:v>
      </x:c>
      <x:c r="I275" s="11" t="str">
        <x:v>QA-0248 to QA-0249; QA-0252</x:v>
      </x:c>
      <x:c r="J275" s="11" t="str">
        <x:v>Not reviewed</x:v>
      </x:c>
      <x:c r="K275" s="11" t="str">
        <x:v>Entity-specific queries and E2E IDs must be added after tracing live schema.</x:v>
      </x:c>
    </x:row>
    <x:row r="276" ht="38" customHeight="1">
      <x:c r="A276" s="10" t="str">
        <x:v>Database entity</x:v>
      </x:c>
      <x:c r="B276" s="10" t="str">
        <x:v>tpa.inquiry_updates</x:v>
      </x:c>
      <x:c r="C276" s="10" t="str">
        <x:v>Keys / ownership / constraints / state / audit / reconciliation</x:v>
      </x:c>
      <x:c r="D276" s="10" t="str">
        <x:v>Technical tester</x:v>
      </x:c>
      <x:c r="E276" s="11" t="str">
        <x:v>Candidate schema; compare deployed ledger</x:v>
      </x:c>
      <x:c r="F276" s="10" t="str">
        <x:v>migrations/010_public_inquiries.sql</x:v>
      </x:c>
      <x:c r="G276" s="11" t="str">
        <x:v>tpa.inquiry_updates</x:v>
      </x:c>
      <x:c r="H276" s="11" t="str">
        <x:v>PostgreSQL</x:v>
      </x:c>
      <x:c r="I276" s="11" t="str">
        <x:v>QA-0248 to QA-0249; QA-0252</x:v>
      </x:c>
      <x:c r="J276" s="11" t="str">
        <x:v>Not reviewed</x:v>
      </x:c>
      <x:c r="K276" s="11" t="str">
        <x:v>Entity-specific queries and E2E IDs must be added after tracing live schema.</x:v>
      </x:c>
    </x:row>
    <x:row r="277" ht="38" customHeight="1">
      <x:c r="A277" s="10" t="str">
        <x:v>Database entity</x:v>
      </x:c>
      <x:c r="B277" s="10" t="str">
        <x:v>tpa.governance_profiles</x:v>
      </x:c>
      <x:c r="C277" s="10" t="str">
        <x:v>Keys / ownership / constraints / state / audit / reconciliation</x:v>
      </x:c>
      <x:c r="D277" s="10" t="str">
        <x:v>Technical tester</x:v>
      </x:c>
      <x:c r="E277" s="11" t="str">
        <x:v>Candidate schema; compare deployed ledger</x:v>
      </x:c>
      <x:c r="F277" s="10" t="str">
        <x:v>migrations/012_governance_profiles.sql</x:v>
      </x:c>
      <x:c r="G277" s="11" t="str">
        <x:v>tpa.governance_profiles</x:v>
      </x:c>
      <x:c r="H277" s="11" t="str">
        <x:v>PostgreSQL</x:v>
      </x:c>
      <x:c r="I277" s="11" t="str">
        <x:v>QA-0248 to QA-0249; QA-0252</x:v>
      </x:c>
      <x:c r="J277" s="11" t="str">
        <x:v>Not reviewed</x:v>
      </x:c>
      <x:c r="K277" s="11" t="str">
        <x:v>Entity-specific queries and E2E IDs must be added after tracing live schema.</x:v>
      </x:c>
    </x:row>
    <x:row r="278" ht="38" customHeight="1">
      <x:c r="A278" s="10" t="str">
        <x:v>Database entity</x:v>
      </x:c>
      <x:c r="B278" s="10" t="str">
        <x:v>tpa.governance_revisions</x:v>
      </x:c>
      <x:c r="C278" s="10" t="str">
        <x:v>Keys / ownership / constraints / state / audit / reconciliation</x:v>
      </x:c>
      <x:c r="D278" s="10" t="str">
        <x:v>Technical tester</x:v>
      </x:c>
      <x:c r="E278" s="11" t="str">
        <x:v>Candidate schema; compare deployed ledger</x:v>
      </x:c>
      <x:c r="F278" s="10" t="str">
        <x:v>migrations/012_governance_profiles.sql</x:v>
      </x:c>
      <x:c r="G278" s="11" t="str">
        <x:v>tpa.governance_revisions</x:v>
      </x:c>
      <x:c r="H278" s="11" t="str">
        <x:v>PostgreSQL</x:v>
      </x:c>
      <x:c r="I278" s="11" t="str">
        <x:v>QA-0248 to QA-0249; QA-0252</x:v>
      </x:c>
      <x:c r="J278" s="11" t="str">
        <x:v>Not reviewed</x:v>
      </x:c>
      <x:c r="K278" s="11" t="str">
        <x:v>Entity-specific queries and E2E IDs must be added after tracing live schema.</x:v>
      </x:c>
    </x:row>
    <x:row r="279" ht="38" customHeight="1">
      <x:c r="A279" s="10" t="str">
        <x:v>Database entity</x:v>
      </x:c>
      <x:c r="B279" s="10" t="str">
        <x:v>tpa.campaign_drafts</x:v>
      </x:c>
      <x:c r="C279" s="10" t="str">
        <x:v>Keys / ownership / constraints / state / audit / reconciliation</x:v>
      </x:c>
      <x:c r="D279" s="10" t="str">
        <x:v>Technical tester</x:v>
      </x:c>
      <x:c r="E279" s="11" t="str">
        <x:v>Candidate schema; compare deployed ledger</x:v>
      </x:c>
      <x:c r="F279" s="10" t="str">
        <x:v>migrations/014_campaign_drafts.sql</x:v>
      </x:c>
      <x:c r="G279" s="11" t="str">
        <x:v>tpa.campaign_drafts</x:v>
      </x:c>
      <x:c r="H279" s="11" t="str">
        <x:v>PostgreSQL</x:v>
      </x:c>
      <x:c r="I279" s="11" t="str">
        <x:v>QA-0248 to QA-0249; QA-0252</x:v>
      </x:c>
      <x:c r="J279" s="11" t="str">
        <x:v>Not reviewed</x:v>
      </x:c>
      <x:c r="K279" s="11" t="str">
        <x:v>Entity-specific queries and E2E IDs must be added after tracing live schema.</x:v>
      </x:c>
    </x:row>
    <x:row r="280" ht="38" customHeight="1">
      <x:c r="A280" s="10" t="str">
        <x:v>Database entity</x:v>
      </x:c>
      <x:c r="B280" s="10" t="str">
        <x:v>tpa.campaign_revisions</x:v>
      </x:c>
      <x:c r="C280" s="10" t="str">
        <x:v>Keys / ownership / constraints / state / audit / reconciliation</x:v>
      </x:c>
      <x:c r="D280" s="10" t="str">
        <x:v>Technical tester</x:v>
      </x:c>
      <x:c r="E280" s="11" t="str">
        <x:v>Candidate schema; compare deployed ledger</x:v>
      </x:c>
      <x:c r="F280" s="10" t="str">
        <x:v>migrations/014_campaign_drafts.sql</x:v>
      </x:c>
      <x:c r="G280" s="11" t="str">
        <x:v>tpa.campaign_revisions</x:v>
      </x:c>
      <x:c r="H280" s="11" t="str">
        <x:v>PostgreSQL</x:v>
      </x:c>
      <x:c r="I280" s="11" t="str">
        <x:v>QA-0248 to QA-0249; QA-0252</x:v>
      </x:c>
      <x:c r="J280" s="11" t="str">
        <x:v>Not reviewed</x:v>
      </x:c>
      <x:c r="K280" s="11" t="str">
        <x:v>Entity-specific queries and E2E IDs must be added after tracing live schema.</x:v>
      </x:c>
    </x:row>
    <x:row r="281" ht="38" customHeight="1">
      <x:c r="A281" s="10" t="str">
        <x:v>Database entity</x:v>
      </x:c>
      <x:c r="B281" s="10" t="str">
        <x:v>tpa.profile_groups</x:v>
      </x:c>
      <x:c r="C281" s="10" t="str">
        <x:v>Keys / ownership / constraints / state / audit / reconciliation</x:v>
      </x:c>
      <x:c r="D281" s="10" t="str">
        <x:v>Technical tester</x:v>
      </x:c>
      <x:c r="E281" s="11" t="str">
        <x:v>Candidate schema; compare deployed ledger</x:v>
      </x:c>
      <x:c r="F281" s="10" t="str">
        <x:v>migrations/015_people_review.sql</x:v>
      </x:c>
      <x:c r="G281" s="11" t="str">
        <x:v>tpa.profile_groups</x:v>
      </x:c>
      <x:c r="H281" s="11" t="str">
        <x:v>PostgreSQL</x:v>
      </x:c>
      <x:c r="I281" s="11" t="str">
        <x:v>QA-0248 to QA-0249; QA-0252</x:v>
      </x:c>
      <x:c r="J281" s="11" t="str">
        <x:v>Not reviewed</x:v>
      </x:c>
      <x:c r="K281" s="11" t="str">
        <x:v>Entity-specific queries and E2E IDs must be added after tracing live schema.</x:v>
      </x:c>
    </x:row>
    <x:row r="282" ht="38" customHeight="1">
      <x:c r="A282" s="10" t="str">
        <x:v>Database entity</x:v>
      </x:c>
      <x:c r="B282" s="10" t="str">
        <x:v>tpa.people</x:v>
      </x:c>
      <x:c r="C282" s="10" t="str">
        <x:v>Keys / ownership / constraints / state / audit / reconciliation</x:v>
      </x:c>
      <x:c r="D282" s="10" t="str">
        <x:v>Technical tester</x:v>
      </x:c>
      <x:c r="E282" s="11" t="str">
        <x:v>Candidate schema; compare deployed ledger</x:v>
      </x:c>
      <x:c r="F282" s="10" t="str">
        <x:v>migrations/015_people_review.sql</x:v>
      </x:c>
      <x:c r="G282" s="11" t="str">
        <x:v>tpa.people</x:v>
      </x:c>
      <x:c r="H282" s="11" t="str">
        <x:v>PostgreSQL</x:v>
      </x:c>
      <x:c r="I282" s="11" t="str">
        <x:v>QA-0248 to QA-0249; QA-0252</x:v>
      </x:c>
      <x:c r="J282" s="11" t="str">
        <x:v>Not reviewed</x:v>
      </x:c>
      <x:c r="K282" s="11" t="str">
        <x:v>Entity-specific queries and E2E IDs must be added after tracing live schema.</x:v>
      </x:c>
    </x:row>
    <x:row r="283" ht="38" customHeight="1">
      <x:c r="A283" s="10" t="str">
        <x:v>Database entity</x:v>
      </x:c>
      <x:c r="B283" s="10" t="str">
        <x:v>tpa.person_revisions</x:v>
      </x:c>
      <x:c r="C283" s="10" t="str">
        <x:v>Keys / ownership / constraints / state / audit / reconciliation</x:v>
      </x:c>
      <x:c r="D283" s="10" t="str">
        <x:v>Technical tester</x:v>
      </x:c>
      <x:c r="E283" s="11" t="str">
        <x:v>Candidate schema; compare deployed ledger</x:v>
      </x:c>
      <x:c r="F283" s="10" t="str">
        <x:v>migrations/015_people_review.sql</x:v>
      </x:c>
      <x:c r="G283" s="11" t="str">
        <x:v>tpa.person_revisions</x:v>
      </x:c>
      <x:c r="H283" s="11" t="str">
        <x:v>PostgreSQL</x:v>
      </x:c>
      <x:c r="I283" s="11" t="str">
        <x:v>QA-0248 to QA-0249; QA-0252</x:v>
      </x:c>
      <x:c r="J283" s="11" t="str">
        <x:v>Not reviewed</x:v>
      </x:c>
      <x:c r="K283" s="11" t="str">
        <x:v>Entity-specific queries and E2E IDs must be added after tracing live schema.</x:v>
      </x:c>
    </x:row>
    <x:row r="284" ht="38" customHeight="1">
      <x:c r="A284" s="10" t="str">
        <x:v>Database entity</x:v>
      </x:c>
      <x:c r="B284" s="10" t="str">
        <x:v>tpa.profile_reviews</x:v>
      </x:c>
      <x:c r="C284" s="10" t="str">
        <x:v>Keys / ownership / constraints / state / audit / reconciliation</x:v>
      </x:c>
      <x:c r="D284" s="10" t="str">
        <x:v>Technical tester</x:v>
      </x:c>
      <x:c r="E284" s="11" t="str">
        <x:v>Candidate schema; compare deployed ledger</x:v>
      </x:c>
      <x:c r="F284" s="10" t="str">
        <x:v>migrations/015_people_review.sql</x:v>
      </x:c>
      <x:c r="G284" s="11" t="str">
        <x:v>tpa.profile_reviews</x:v>
      </x:c>
      <x:c r="H284" s="11" t="str">
        <x:v>PostgreSQL</x:v>
      </x:c>
      <x:c r="I284" s="11" t="str">
        <x:v>QA-0248 to QA-0249; QA-0252</x:v>
      </x:c>
      <x:c r="J284" s="11" t="str">
        <x:v>Not reviewed</x:v>
      </x:c>
      <x:c r="K284" s="11" t="str">
        <x:v>Entity-specific queries and E2E IDs must be added after tracing live schema.</x:v>
      </x:c>
    </x:row>
    <x:row r="285" ht="38" customHeight="1">
      <x:c r="A285" s="10" t="str">
        <x:v>Database entity</x:v>
      </x:c>
      <x:c r="B285" s="10" t="str">
        <x:v>tpa.person_assignments</x:v>
      </x:c>
      <x:c r="C285" s="10" t="str">
        <x:v>Keys / ownership / constraints / state / audit / reconciliation</x:v>
      </x:c>
      <x:c r="D285" s="10" t="str">
        <x:v>Technical tester</x:v>
      </x:c>
      <x:c r="E285" s="11" t="str">
        <x:v>Candidate schema; compare deployed ledger</x:v>
      </x:c>
      <x:c r="F285" s="10" t="str">
        <x:v>migrations/015_people_review.sql</x:v>
      </x:c>
      <x:c r="G285" s="11" t="str">
        <x:v>tpa.person_assignments</x:v>
      </x:c>
      <x:c r="H285" s="11" t="str">
        <x:v>PostgreSQL</x:v>
      </x:c>
      <x:c r="I285" s="11" t="str">
        <x:v>QA-0248 to QA-0249; QA-0252</x:v>
      </x:c>
      <x:c r="J285" s="11" t="str">
        <x:v>Not reviewed</x:v>
      </x:c>
      <x:c r="K285" s="11" t="str">
        <x:v>Entity-specific queries and E2E IDs must be added after tracing live schema.</x:v>
      </x:c>
    </x:row>
    <x:row r="286" ht="38" customHeight="1">
      <x:c r="A286" s="10" t="str">
        <x:v>Database entity</x:v>
      </x:c>
      <x:c r="B286" s="10" t="str">
        <x:v>tpa.profile_portraits</x:v>
      </x:c>
      <x:c r="C286" s="10" t="str">
        <x:v>Keys / ownership / constraints / state / audit / reconciliation</x:v>
      </x:c>
      <x:c r="D286" s="10" t="str">
        <x:v>Technical tester</x:v>
      </x:c>
      <x:c r="E286" s="11" t="str">
        <x:v>Candidate schema; compare deployed ledger</x:v>
      </x:c>
      <x:c r="F286" s="10" t="str">
        <x:v>migrations/015_people_review.sql</x:v>
      </x:c>
      <x:c r="G286" s="11" t="str">
        <x:v>tpa.profile_portraits</x:v>
      </x:c>
      <x:c r="H286" s="11" t="str">
        <x:v>PostgreSQL</x:v>
      </x:c>
      <x:c r="I286" s="11" t="str">
        <x:v>QA-0248 to QA-0249; QA-0252</x:v>
      </x:c>
      <x:c r="J286" s="11" t="str">
        <x:v>Not reviewed</x:v>
      </x:c>
      <x:c r="K286" s="11" t="str">
        <x:v>Entity-specific queries and E2E IDs must be added after tracing live schema.</x:v>
      </x:c>
    </x:row>
    <x:row r="287" ht="38" customHeight="1">
      <x:c r="A287" s="10" t="str">
        <x:v>Database entity</x:v>
      </x:c>
      <x:c r="B287" s="10" t="str">
        <x:v>tpa.report_presets</x:v>
      </x:c>
      <x:c r="C287" s="10" t="str">
        <x:v>Keys / ownership / constraints / state / audit / reconciliation</x:v>
      </x:c>
      <x:c r="D287" s="10" t="str">
        <x:v>Technical tester</x:v>
      </x:c>
      <x:c r="E287" s="11" t="str">
        <x:v>Candidate schema; compare deployed ledger</x:v>
      </x:c>
      <x:c r="F287" s="10" t="str">
        <x:v>migrations/017_reports_news.sql</x:v>
      </x:c>
      <x:c r="G287" s="11" t="str">
        <x:v>tpa.report_presets</x:v>
      </x:c>
      <x:c r="H287" s="11" t="str">
        <x:v>PostgreSQL</x:v>
      </x:c>
      <x:c r="I287" s="11" t="str">
        <x:v>QA-0248 to QA-0249; QA-0252</x:v>
      </x:c>
      <x:c r="J287" s="11" t="str">
        <x:v>Not reviewed</x:v>
      </x:c>
      <x:c r="K287" s="11" t="str">
        <x:v>Entity-specific queries and E2E IDs must be added after tracing live schema.</x:v>
      </x:c>
    </x:row>
    <x:row r="288" ht="38" customHeight="1">
      <x:c r="A288" s="10" t="str">
        <x:v>Database entity</x:v>
      </x:c>
      <x:c r="B288" s="10" t="str">
        <x:v>tpa.news_sources</x:v>
      </x:c>
      <x:c r="C288" s="10" t="str">
        <x:v>Keys / ownership / constraints / state / audit / reconciliation</x:v>
      </x:c>
      <x:c r="D288" s="10" t="str">
        <x:v>Technical tester</x:v>
      </x:c>
      <x:c r="E288" s="11" t="str">
        <x:v>Candidate schema; compare deployed ledger</x:v>
      </x:c>
      <x:c r="F288" s="10" t="str">
        <x:v>migrations/017_reports_news.sql</x:v>
      </x:c>
      <x:c r="G288" s="11" t="str">
        <x:v>tpa.news_sources</x:v>
      </x:c>
      <x:c r="H288" s="11" t="str">
        <x:v>PostgreSQL</x:v>
      </x:c>
      <x:c r="I288" s="11" t="str">
        <x:v>QA-0248 to QA-0249; QA-0252</x:v>
      </x:c>
      <x:c r="J288" s="11" t="str">
        <x:v>Not reviewed</x:v>
      </x:c>
      <x:c r="K288" s="11" t="str">
        <x:v>Entity-specific queries and E2E IDs must be added after tracing live schema.</x:v>
      </x:c>
    </x:row>
    <x:row r="289" ht="38" customHeight="1">
      <x:c r="A289" s="10" t="str">
        <x:v>Database entity</x:v>
      </x:c>
      <x:c r="B289" s="10" t="str">
        <x:v>tpa.news_source_revisions</x:v>
      </x:c>
      <x:c r="C289" s="10" t="str">
        <x:v>Keys / ownership / constraints / state / audit / reconciliation</x:v>
      </x:c>
      <x:c r="D289" s="10" t="str">
        <x:v>Technical tester</x:v>
      </x:c>
      <x:c r="E289" s="11" t="str">
        <x:v>Candidate schema; compare deployed ledger</x:v>
      </x:c>
      <x:c r="F289" s="10" t="str">
        <x:v>migrations/017_reports_news.sql</x:v>
      </x:c>
      <x:c r="G289" s="11" t="str">
        <x:v>tpa.news_source_revisions</x:v>
      </x:c>
      <x:c r="H289" s="11" t="str">
        <x:v>PostgreSQL</x:v>
      </x:c>
      <x:c r="I289" s="11" t="str">
        <x:v>QA-0248 to QA-0249; QA-0252</x:v>
      </x:c>
      <x:c r="J289" s="11" t="str">
        <x:v>Not reviewed</x:v>
      </x:c>
      <x:c r="K289" s="11" t="str">
        <x:v>Entity-specific queries and E2E IDs must be added after tracing live schema.</x:v>
      </x:c>
    </x:row>
    <x:row r="290" ht="38" customHeight="1">
      <x:c r="A290" s="10" t="str">
        <x:v>Database entity</x:v>
      </x:c>
      <x:c r="B290" s="10" t="str">
        <x:v>tpa.email_dispatches</x:v>
      </x:c>
      <x:c r="C290" s="10" t="str">
        <x:v>Keys / ownership / constraints / state / audit / reconciliation</x:v>
      </x:c>
      <x:c r="D290" s="10" t="str">
        <x:v>Technical tester</x:v>
      </x:c>
      <x:c r="E290" s="11" t="str">
        <x:v>Candidate schema; compare deployed ledger</x:v>
      </x:c>
      <x:c r="F290" s="10" t="str">
        <x:v>migrations/018_email_operations.sql</x:v>
      </x:c>
      <x:c r="G290" s="11" t="str">
        <x:v>tpa.email_dispatches</x:v>
      </x:c>
      <x:c r="H290" s="11" t="str">
        <x:v>PostgreSQL</x:v>
      </x:c>
      <x:c r="I290" s="11" t="str">
        <x:v>QA-0248 to QA-0249; QA-0252</x:v>
      </x:c>
      <x:c r="J290" s="11" t="str">
        <x:v>Not reviewed</x:v>
      </x:c>
      <x:c r="K290" s="11" t="str">
        <x:v>Entity-specific queries and E2E IDs must be added after tracing live schema.</x:v>
      </x:c>
    </x:row>
    <x:row r="291" ht="38" customHeight="1">
      <x:c r="A291" s="10" t="str">
        <x:v>Database entity</x:v>
      </x:c>
      <x:c r="B291" s="10" t="str">
        <x:v>tpa.email_conversations</x:v>
      </x:c>
      <x:c r="C291" s="10" t="str">
        <x:v>Keys / ownership / constraints / state / audit / reconciliation</x:v>
      </x:c>
      <x:c r="D291" s="10" t="str">
        <x:v>Technical tester</x:v>
      </x:c>
      <x:c r="E291" s="11" t="str">
        <x:v>Candidate schema; compare deployed ledger</x:v>
      </x:c>
      <x:c r="F291" s="10" t="str">
        <x:v>migrations/018_email_operations.sql</x:v>
      </x:c>
      <x:c r="G291" s="11" t="str">
        <x:v>tpa.email_conversations</x:v>
      </x:c>
      <x:c r="H291" s="11" t="str">
        <x:v>PostgreSQL</x:v>
      </x:c>
      <x:c r="I291" s="11" t="str">
        <x:v>QA-0248 to QA-0249; QA-0252</x:v>
      </x:c>
      <x:c r="J291" s="11" t="str">
        <x:v>Not reviewed</x:v>
      </x:c>
      <x:c r="K291" s="11" t="str">
        <x:v>Entity-specific queries and E2E IDs must be added after tracing live schema.</x:v>
      </x:c>
    </x:row>
    <x:row r="292" ht="38" customHeight="1">
      <x:c r="A292" s="10" t="str">
        <x:v>Database entity</x:v>
      </x:c>
      <x:c r="B292" s="10" t="str">
        <x:v>tpa.email_messages</x:v>
      </x:c>
      <x:c r="C292" s="10" t="str">
        <x:v>Keys / ownership / constraints / state / audit / reconciliation</x:v>
      </x:c>
      <x:c r="D292" s="10" t="str">
        <x:v>Technical tester</x:v>
      </x:c>
      <x:c r="E292" s="11" t="str">
        <x:v>Candidate schema; compare deployed ledger</x:v>
      </x:c>
      <x:c r="F292" s="10" t="str">
        <x:v>migrations/018_email_operations.sql</x:v>
      </x:c>
      <x:c r="G292" s="11" t="str">
        <x:v>tpa.email_messages</x:v>
      </x:c>
      <x:c r="H292" s="11" t="str">
        <x:v>PostgreSQL</x:v>
      </x:c>
      <x:c r="I292" s="11" t="str">
        <x:v>QA-0248 to QA-0249; QA-0252</x:v>
      </x:c>
      <x:c r="J292" s="11" t="str">
        <x:v>Not reviewed</x:v>
      </x:c>
      <x:c r="K292" s="11" t="str">
        <x:v>Entity-specific queries and E2E IDs must be added after tracing live schema.</x:v>
      </x:c>
    </x:row>
    <x:row r="293" ht="38" customHeight="1">
      <x:c r="A293" s="10" t="str">
        <x:v>Database entity</x:v>
      </x:c>
      <x:c r="B293" s="10" t="str">
        <x:v>tpa.email_notes</x:v>
      </x:c>
      <x:c r="C293" s="10" t="str">
        <x:v>Keys / ownership / constraints / state / audit / reconciliation</x:v>
      </x:c>
      <x:c r="D293" s="10" t="str">
        <x:v>Technical tester</x:v>
      </x:c>
      <x:c r="E293" s="11" t="str">
        <x:v>Candidate schema; compare deployed ledger</x:v>
      </x:c>
      <x:c r="F293" s="10" t="str">
        <x:v>migrations/018_email_operations.sql</x:v>
      </x:c>
      <x:c r="G293" s="11" t="str">
        <x:v>tpa.email_notes</x:v>
      </x:c>
      <x:c r="H293" s="11" t="str">
        <x:v>PostgreSQL</x:v>
      </x:c>
      <x:c r="I293" s="11" t="str">
        <x:v>QA-0248 to QA-0249; QA-0252</x:v>
      </x:c>
      <x:c r="J293" s="11" t="str">
        <x:v>Not reviewed</x:v>
      </x:c>
      <x:c r="K293" s="11" t="str">
        <x:v>Entity-specific queries and E2E IDs must be added after tracing live schema.</x:v>
      </x:c>
    </x:row>
    <x:row r="294" ht="38" customHeight="1">
      <x:c r="A294" s="10" t="str">
        <x:v>Database entity</x:v>
      </x:c>
      <x:c r="B294" s="10" t="str">
        <x:v>tpa.email_unsubscribe_tokens</x:v>
      </x:c>
      <x:c r="C294" s="10" t="str">
        <x:v>Keys / ownership / constraints / state / audit / reconciliation</x:v>
      </x:c>
      <x:c r="D294" s="10" t="str">
        <x:v>Technical tester</x:v>
      </x:c>
      <x:c r="E294" s="11" t="str">
        <x:v>Candidate schema; compare deployed ledger</x:v>
      </x:c>
      <x:c r="F294" s="10" t="str">
        <x:v>migrations/018_email_operations.sql</x:v>
      </x:c>
      <x:c r="G294" s="11" t="str">
        <x:v>tpa.email_unsubscribe_tokens</x:v>
      </x:c>
      <x:c r="H294" s="11" t="str">
        <x:v>PostgreSQL</x:v>
      </x:c>
      <x:c r="I294" s="11" t="str">
        <x:v>QA-0248 to QA-0249; QA-0252</x:v>
      </x:c>
      <x:c r="J294" s="11" t="str">
        <x:v>Not reviewed</x:v>
      </x:c>
      <x:c r="K294" s="11" t="str">
        <x:v>Entity-specific queries and E2E IDs must be added after tracing live schema.</x:v>
      </x:c>
    </x:row>
    <x:row r="295" ht="38" customHeight="1">
      <x:c r="A295" s="10" t="str">
        <x:v>Database entity</x:v>
      </x:c>
      <x:c r="B295" s="10" t="str">
        <x:v>tpa.email_jobs</x:v>
      </x:c>
      <x:c r="C295" s="10" t="str">
        <x:v>Keys / ownership / constraints / state / audit / reconciliation</x:v>
      </x:c>
      <x:c r="D295" s="10" t="str">
        <x:v>Technical tester</x:v>
      </x:c>
      <x:c r="E295" s="11" t="str">
        <x:v>Candidate schema; compare deployed ledger</x:v>
      </x:c>
      <x:c r="F295" s="10" t="str">
        <x:v>migrations/018_email_operations.sql</x:v>
      </x:c>
      <x:c r="G295" s="11" t="str">
        <x:v>tpa.email_jobs</x:v>
      </x:c>
      <x:c r="H295" s="11" t="str">
        <x:v>PostgreSQL</x:v>
      </x:c>
      <x:c r="I295" s="11" t="str">
        <x:v>QA-0248 to QA-0249; QA-0252</x:v>
      </x:c>
      <x:c r="J295" s="11" t="str">
        <x:v>Not reviewed</x:v>
      </x:c>
      <x:c r="K295" s="11" t="str">
        <x:v>Entity-specific queries and E2E IDs must be added after tracing live schema.</x:v>
      </x:c>
    </x:row>
    <x:row r="296" ht="38" customHeight="1">
      <x:c r="A296" s="10" t="str">
        <x:v>Database entity</x:v>
      </x:c>
      <x:c r="B296" s="10" t="str">
        <x:v>tpa.email_events</x:v>
      </x:c>
      <x:c r="C296" s="10" t="str">
        <x:v>Keys / ownership / constraints / state / audit / reconciliation</x:v>
      </x:c>
      <x:c r="D296" s="10" t="str">
        <x:v>Technical tester</x:v>
      </x:c>
      <x:c r="E296" s="11" t="str">
        <x:v>Candidate schema; compare deployed ledger</x:v>
      </x:c>
      <x:c r="F296" s="10" t="str">
        <x:v>migrations/018_email_operations.sql</x:v>
      </x:c>
      <x:c r="G296" s="11" t="str">
        <x:v>tpa.email_events</x:v>
      </x:c>
      <x:c r="H296" s="11" t="str">
        <x:v>PostgreSQL</x:v>
      </x:c>
      <x:c r="I296" s="11" t="str">
        <x:v>QA-0248 to QA-0249; QA-0252</x:v>
      </x:c>
      <x:c r="J296" s="11" t="str">
        <x:v>Not reviewed</x:v>
      </x:c>
      <x:c r="K296" s="11" t="str">
        <x:v>Entity-specific queries and E2E IDs must be added after tracing live schema.</x:v>
      </x:c>
    </x:row>
    <x:row r="297" ht="38" customHeight="1">
      <x:c r="A297" s="10" t="str">
        <x:v>Database entity</x:v>
      </x:c>
      <x:c r="B297" s="10" t="str">
        <x:v>tpa.email_suppressions</x:v>
      </x:c>
      <x:c r="C297" s="10" t="str">
        <x:v>Keys / ownership / constraints / state / audit / reconciliation</x:v>
      </x:c>
      <x:c r="D297" s="10" t="str">
        <x:v>Technical tester</x:v>
      </x:c>
      <x:c r="E297" s="11" t="str">
        <x:v>Candidate schema; compare deployed ledger</x:v>
      </x:c>
      <x:c r="F297" s="10" t="str">
        <x:v>migrations/018_email_operations.sql</x:v>
      </x:c>
      <x:c r="G297" s="11" t="str">
        <x:v>tpa.email_suppressions</x:v>
      </x:c>
      <x:c r="H297" s="11" t="str">
        <x:v>PostgreSQL</x:v>
      </x:c>
      <x:c r="I297" s="11" t="str">
        <x:v>QA-0248 to QA-0249; QA-0252</x:v>
      </x:c>
      <x:c r="J297" s="11" t="str">
        <x:v>Not reviewed</x:v>
      </x:c>
      <x:c r="K297" s="11" t="str">
        <x:v>Entity-specific queries and E2E IDs must be added after tracing live schema.</x:v>
      </x:c>
    </x:row>
    <x:row r="298" ht="38" customHeight="1">
      <x:c r="A298" s="10" t="str">
        <x:v>Database entity</x:v>
      </x:c>
      <x:c r="B298" s="10" t="str">
        <x:v>tpa.email_receipts</x:v>
      </x:c>
      <x:c r="C298" s="10" t="str">
        <x:v>Keys / ownership / constraints / state / audit / reconciliation</x:v>
      </x:c>
      <x:c r="D298" s="10" t="str">
        <x:v>Technical tester</x:v>
      </x:c>
      <x:c r="E298" s="11" t="str">
        <x:v>Candidate schema; compare deployed ledger</x:v>
      </x:c>
      <x:c r="F298" s="10" t="str">
        <x:v>migrations/018_email_operations.sql</x:v>
      </x:c>
      <x:c r="G298" s="11" t="str">
        <x:v>tpa.email_receipts</x:v>
      </x:c>
      <x:c r="H298" s="11" t="str">
        <x:v>PostgreSQL</x:v>
      </x:c>
      <x:c r="I298" s="11" t="str">
        <x:v>QA-0248 to QA-0249; QA-0252</x:v>
      </x:c>
      <x:c r="J298" s="11" t="str">
        <x:v>Not reviewed</x:v>
      </x:c>
      <x:c r="K298" s="11" t="str">
        <x:v>Entity-specific queries and E2E IDs must be added after tracing live schema.</x:v>
      </x:c>
    </x:row>
    <x:row r="299" ht="38" customHeight="1">
      <x:c r="A299" s="10" t="str">
        <x:v>Database entity</x:v>
      </x:c>
      <x:c r="B299" s="10" t="str">
        <x:v>tpa.email_worker_state</x:v>
      </x:c>
      <x:c r="C299" s="10" t="str">
        <x:v>Keys / ownership / constraints / state / audit / reconciliation</x:v>
      </x:c>
      <x:c r="D299" s="10" t="str">
        <x:v>Technical tester</x:v>
      </x:c>
      <x:c r="E299" s="11" t="str">
        <x:v>Candidate schema; compare deployed ledger</x:v>
      </x:c>
      <x:c r="F299" s="10" t="str">
        <x:v>migrations/018_email_operations.sql</x:v>
      </x:c>
      <x:c r="G299" s="11" t="str">
        <x:v>tpa.email_worker_state</x:v>
      </x:c>
      <x:c r="H299" s="11" t="str">
        <x:v>PostgreSQL</x:v>
      </x:c>
      <x:c r="I299" s="11" t="str">
        <x:v>QA-0248 to QA-0249; QA-0252</x:v>
      </x:c>
      <x:c r="J299" s="11" t="str">
        <x:v>Not reviewed</x:v>
      </x:c>
      <x:c r="K299" s="11" t="str">
        <x:v>Entity-specific queries and E2E IDs must be added after tracing live schema.</x:v>
      </x:c>
    </x:row>
    <x:row r="300" ht="38" customHeight="1">
      <x:c r="A300" s="10" t="str">
        <x:v>Database entity</x:v>
      </x:c>
      <x:c r="B300" s="10" t="str">
        <x:v>tpa.verification_policies</x:v>
      </x:c>
      <x:c r="C300" s="10" t="str">
        <x:v>Keys / ownership / constraints / state / audit / reconciliation</x:v>
      </x:c>
      <x:c r="D300" s="10" t="str">
        <x:v>Technical tester</x:v>
      </x:c>
      <x:c r="E300" s="11" t="str">
        <x:v>Candidate schema; compare deployed ledger</x:v>
      </x:c>
      <x:c r="F300" s="10" t="str">
        <x:v>migrations/019_onboarding.sql</x:v>
      </x:c>
      <x:c r="G300" s="11" t="str">
        <x:v>tpa.verification_policies</x:v>
      </x:c>
      <x:c r="H300" s="11" t="str">
        <x:v>PostgreSQL</x:v>
      </x:c>
      <x:c r="I300" s="11" t="str">
        <x:v>QA-0248 to QA-0249; QA-0252</x:v>
      </x:c>
      <x:c r="J300" s="11" t="str">
        <x:v>Not reviewed</x:v>
      </x:c>
      <x:c r="K300" s="11" t="str">
        <x:v>Entity-specific queries and E2E IDs must be added after tracing live schema.</x:v>
      </x:c>
    </x:row>
    <x:row r="301" ht="38" customHeight="1">
      <x:c r="A301" s="10" t="str">
        <x:v>Database entity</x:v>
      </x:c>
      <x:c r="B301" s="10" t="str">
        <x:v>tpa.verification_policy_draft</x:v>
      </x:c>
      <x:c r="C301" s="10" t="str">
        <x:v>Keys / ownership / constraints / state / audit / reconciliation</x:v>
      </x:c>
      <x:c r="D301" s="10" t="str">
        <x:v>Technical tester</x:v>
      </x:c>
      <x:c r="E301" s="11" t="str">
        <x:v>Candidate schema; compare deployed ledger</x:v>
      </x:c>
      <x:c r="F301" s="10" t="str">
        <x:v>migrations/019_onboarding.sql</x:v>
      </x:c>
      <x:c r="G301" s="11" t="str">
        <x:v>tpa.verification_policy_draft</x:v>
      </x:c>
      <x:c r="H301" s="11" t="str">
        <x:v>PostgreSQL</x:v>
      </x:c>
      <x:c r="I301" s="11" t="str">
        <x:v>QA-0248 to QA-0249; QA-0252</x:v>
      </x:c>
      <x:c r="J301" s="11" t="str">
        <x:v>Not reviewed</x:v>
      </x:c>
      <x:c r="K301" s="11" t="str">
        <x:v>Entity-specific queries and E2E IDs must be added after tracing live schema.</x:v>
      </x:c>
    </x:row>
    <x:row r="302" ht="38" customHeight="1">
      <x:c r="A302" s="10" t="str">
        <x:v>Database entity</x:v>
      </x:c>
      <x:c r="B302" s="10" t="str">
        <x:v>tpa.verification_submissions</x:v>
      </x:c>
      <x:c r="C302" s="10" t="str">
        <x:v>Keys / ownership / constraints / state / audit / reconciliation</x:v>
      </x:c>
      <x:c r="D302" s="10" t="str">
        <x:v>Technical tester</x:v>
      </x:c>
      <x:c r="E302" s="11" t="str">
        <x:v>Candidate schema; compare deployed ledger</x:v>
      </x:c>
      <x:c r="F302" s="10" t="str">
        <x:v>migrations/019_onboarding.sql</x:v>
      </x:c>
      <x:c r="G302" s="11" t="str">
        <x:v>tpa.verification_submissions</x:v>
      </x:c>
      <x:c r="H302" s="11" t="str">
        <x:v>PostgreSQL</x:v>
      </x:c>
      <x:c r="I302" s="11" t="str">
        <x:v>QA-0248 to QA-0249; QA-0252</x:v>
      </x:c>
      <x:c r="J302" s="11" t="str">
        <x:v>Not reviewed</x:v>
      </x:c>
      <x:c r="K302" s="11" t="str">
        <x:v>Entity-specific queries and E2E IDs must be added after tracing live schema.</x:v>
      </x:c>
    </x:row>
    <x:row r="303" ht="38" customHeight="1">
      <x:c r="A303" s="10" t="str">
        <x:v>Database entity</x:v>
      </x:c>
      <x:c r="B303" s="10" t="str">
        <x:v>tpa.onboarding_mail</x:v>
      </x:c>
      <x:c r="C303" s="10" t="str">
        <x:v>Keys / ownership / constraints / state / audit / reconciliation</x:v>
      </x:c>
      <x:c r="D303" s="10" t="str">
        <x:v>Technical tester</x:v>
      </x:c>
      <x:c r="E303" s="11" t="str">
        <x:v>Candidate schema; compare deployed ledger</x:v>
      </x:c>
      <x:c r="F303" s="10" t="str">
        <x:v>migrations/019_onboarding.sql</x:v>
      </x:c>
      <x:c r="G303" s="11" t="str">
        <x:v>tpa.onboarding_mail</x:v>
      </x:c>
      <x:c r="H303" s="11" t="str">
        <x:v>PostgreSQL</x:v>
      </x:c>
      <x:c r="I303" s="11" t="str">
        <x:v>QA-0248 to QA-0249; QA-0252</x:v>
      </x:c>
      <x:c r="J303" s="11" t="str">
        <x:v>Not reviewed</x:v>
      </x:c>
      <x:c r="K303" s="11" t="str">
        <x:v>Entity-specific queries and E2E IDs must be added after tracing live schema.</x:v>
      </x:c>
    </x:row>
    <x:row r="304" ht="38" customHeight="1">
      <x:c r="A304" s="10" t="str">
        <x:v>Database entity</x:v>
      </x:c>
      <x:c r="B304" s="10" t="str">
        <x:v>tpa.onboarding_mail_events</x:v>
      </x:c>
      <x:c r="C304" s="10" t="str">
        <x:v>Keys / ownership / constraints / state / audit / reconciliation</x:v>
      </x:c>
      <x:c r="D304" s="10" t="str">
        <x:v>Technical tester</x:v>
      </x:c>
      <x:c r="E304" s="11" t="str">
        <x:v>Candidate schema; compare deployed ledger</x:v>
      </x:c>
      <x:c r="F304" s="10" t="str">
        <x:v>migrations/019_onboarding.sql</x:v>
      </x:c>
      <x:c r="G304" s="11" t="str">
        <x:v>tpa.onboarding_mail_events</x:v>
      </x:c>
      <x:c r="H304" s="11" t="str">
        <x:v>PostgreSQL</x:v>
      </x:c>
      <x:c r="I304" s="11" t="str">
        <x:v>QA-0248 to QA-0249; QA-0252</x:v>
      </x:c>
      <x:c r="J304" s="11" t="str">
        <x:v>Not reviewed</x:v>
      </x:c>
      <x:c r="K304" s="11" t="str">
        <x:v>Entity-specific queries and E2E IDs must be added after tracing live schema.</x:v>
      </x:c>
    </x:row>
    <x:row r="305" ht="38" customHeight="1">
      <x:c r="A305" s="10" t="str">
        <x:v>Database entity</x:v>
      </x:c>
      <x:c r="B305" s="10" t="str">
        <x:v>tpa.onboarding_settings</x:v>
      </x:c>
      <x:c r="C305" s="10" t="str">
        <x:v>Keys / ownership / constraints / state / audit / reconciliation</x:v>
      </x:c>
      <x:c r="D305" s="10" t="str">
        <x:v>Technical tester</x:v>
      </x:c>
      <x:c r="E305" s="11" t="str">
        <x:v>Candidate schema; compare deployed ledger</x:v>
      </x:c>
      <x:c r="F305" s="10" t="str">
        <x:v>migrations/019_onboarding.sql</x:v>
      </x:c>
      <x:c r="G305" s="11" t="str">
        <x:v>tpa.onboarding_settings</x:v>
      </x:c>
      <x:c r="H305" s="11" t="str">
        <x:v>PostgreSQL</x:v>
      </x:c>
      <x:c r="I305" s="11" t="str">
        <x:v>QA-0248 to QA-0249; QA-0252</x:v>
      </x:c>
      <x:c r="J305" s="11" t="str">
        <x:v>Not reviewed</x:v>
      </x:c>
      <x:c r="K305" s="11" t="str">
        <x:v>Entity-specific queries and E2E IDs must be added after tracing live schema.</x:v>
      </x:c>
    </x:row>
    <x:row r="306" ht="38" customHeight="1">
      <x:c r="A306" s="10" t="str">
        <x:v>Database entity</x:v>
      </x:c>
      <x:c r="B306" s="10" t="str">
        <x:v>tpa.onboarding_batches</x:v>
      </x:c>
      <x:c r="C306" s="10" t="str">
        <x:v>Keys / ownership / constraints / state / audit / reconciliation</x:v>
      </x:c>
      <x:c r="D306" s="10" t="str">
        <x:v>Technical tester</x:v>
      </x:c>
      <x:c r="E306" s="11" t="str">
        <x:v>Candidate schema; compare deployed ledger</x:v>
      </x:c>
      <x:c r="F306" s="10" t="str">
        <x:v>migrations/019_onboarding.sql</x:v>
      </x:c>
      <x:c r="G306" s="11" t="str">
        <x:v>tpa.onboarding_batches</x:v>
      </x:c>
      <x:c r="H306" s="11" t="str">
        <x:v>PostgreSQL</x:v>
      </x:c>
      <x:c r="I306" s="11" t="str">
        <x:v>QA-0248 to QA-0249; QA-0252</x:v>
      </x:c>
      <x:c r="J306" s="11" t="str">
        <x:v>Not reviewed</x:v>
      </x:c>
      <x:c r="K306" s="11" t="str">
        <x:v>Entity-specific queries and E2E IDs must be added after tracing live schema.</x:v>
      </x:c>
    </x:row>
    <x:row r="307" ht="38" customHeight="1">
      <x:c r="A307" s="10" t="str">
        <x:v>Database entity</x:v>
      </x:c>
      <x:c r="B307" s="10" t="str">
        <x:v>tpa.onboarding_invitations</x:v>
      </x:c>
      <x:c r="C307" s="10" t="str">
        <x:v>Keys / ownership / constraints / state / audit / reconciliation</x:v>
      </x:c>
      <x:c r="D307" s="10" t="str">
        <x:v>Technical tester</x:v>
      </x:c>
      <x:c r="E307" s="11" t="str">
        <x:v>Candidate schema; compare deployed ledger</x:v>
      </x:c>
      <x:c r="F307" s="10" t="str">
        <x:v>migrations/019_onboarding.sql</x:v>
      </x:c>
      <x:c r="G307" s="11" t="str">
        <x:v>tpa.onboarding_invitations</x:v>
      </x:c>
      <x:c r="H307" s="11" t="str">
        <x:v>PostgreSQL</x:v>
      </x:c>
      <x:c r="I307" s="11" t="str">
        <x:v>QA-0248 to QA-0249; QA-0252</x:v>
      </x:c>
      <x:c r="J307" s="11" t="str">
        <x:v>Not reviewed</x:v>
      </x:c>
      <x:c r="K307" s="11" t="str">
        <x:v>Entity-specific queries and E2E IDs must be added after tracing live schema.</x:v>
      </x:c>
    </x:row>
    <x:row r="308" ht="38" customHeight="1">
      <x:c r="A308" s="10" t="str">
        <x:v>Database entity</x:v>
      </x:c>
      <x:c r="B308" s="10" t="str">
        <x:v>tpa.onboarding_limits</x:v>
      </x:c>
      <x:c r="C308" s="10" t="str">
        <x:v>Keys / ownership / constraints / state / audit / reconciliation</x:v>
      </x:c>
      <x:c r="D308" s="10" t="str">
        <x:v>Technical tester</x:v>
      </x:c>
      <x:c r="E308" s="11" t="str">
        <x:v>Candidate schema; compare deployed ledger</x:v>
      </x:c>
      <x:c r="F308" s="10" t="str">
        <x:v>migrations/019_onboarding.sql</x:v>
      </x:c>
      <x:c r="G308" s="11" t="str">
        <x:v>tpa.onboarding_limits</x:v>
      </x:c>
      <x:c r="H308" s="11" t="str">
        <x:v>PostgreSQL</x:v>
      </x:c>
      <x:c r="I308" s="11" t="str">
        <x:v>QA-0248 to QA-0249; QA-0252</x:v>
      </x:c>
      <x:c r="J308" s="11" t="str">
        <x:v>Not reviewed</x:v>
      </x:c>
      <x:c r="K308" s="11" t="str">
        <x:v>Entity-specific queries and E2E IDs must be added after tracing live schema.</x:v>
      </x:c>
    </x:row>
    <x:row r="309" ht="38" customHeight="1">
      <x:c r="A309" s="10" t="str">
        <x:v>Database entity</x:v>
      </x:c>
      <x:c r="B309" s="10" t="str">
        <x:v>public."rateLimit"</x:v>
      </x:c>
      <x:c r="C309" s="10" t="str">
        <x:v>Keys / ownership / constraints / state / audit / reconciliation</x:v>
      </x:c>
      <x:c r="D309" s="10" t="str">
        <x:v>Technical tester</x:v>
      </x:c>
      <x:c r="E309" s="11" t="str">
        <x:v>Candidate schema; compare deployed ledger</x:v>
      </x:c>
      <x:c r="F309" s="10" t="str">
        <x:v>migrations/019_onboarding.sql</x:v>
      </x:c>
      <x:c r="G309" s="11" t="str">
        <x:v>public."rateLimit"</x:v>
      </x:c>
      <x:c r="H309" s="11" t="str">
        <x:v>PostgreSQL</x:v>
      </x:c>
      <x:c r="I309" s="11" t="str">
        <x:v>QA-0248 to QA-0249; QA-0252</x:v>
      </x:c>
      <x:c r="J309" s="11" t="str">
        <x:v>Not reviewed</x:v>
      </x:c>
      <x:c r="K309" s="11" t="str">
        <x:v>Entity-specific queries and E2E IDs must be added after tracing live schema.</x:v>
      </x:c>
    </x:row>
    <x:row r="310" ht="38" customHeight="1">
      <x:c r="A310" s="10" t="str">
        <x:v>Database entity</x:v>
      </x:c>
      <x:c r="B310" s="10" t="str">
        <x:v>tpa.memberships</x:v>
      </x:c>
      <x:c r="C310" s="10" t="str">
        <x:v>Keys / ownership / constraints / state / audit / reconciliation</x:v>
      </x:c>
      <x:c r="D310" s="10" t="str">
        <x:v>Technical tester</x:v>
      </x:c>
      <x:c r="E310" s="11" t="str">
        <x:v>Candidate schema; compare deployed ledger</x:v>
      </x:c>
      <x:c r="F310" s="10" t="str">
        <x:v>migrations/023_member_foundation.sql</x:v>
      </x:c>
      <x:c r="G310" s="11" t="str">
        <x:v>tpa.memberships</x:v>
      </x:c>
      <x:c r="H310" s="11" t="str">
        <x:v>PostgreSQL</x:v>
      </x:c>
      <x:c r="I310" s="11" t="str">
        <x:v>QA-0248 to QA-0249; QA-0252</x:v>
      </x:c>
      <x:c r="J310" s="11" t="str">
        <x:v>Not reviewed</x:v>
      </x:c>
      <x:c r="K310" s="11" t="str">
        <x:v>Entity-specific queries and E2E IDs must be added after tracing live schema.</x:v>
      </x:c>
    </x:row>
    <x:row r="311" ht="38" customHeight="1">
      <x:c r="A311" s="10" t="str">
        <x:v>Database entity</x:v>
      </x:c>
      <x:c r="B311" s="10" t="str">
        <x:v>tpa.postal_versions</x:v>
      </x:c>
      <x:c r="C311" s="10" t="str">
        <x:v>Keys / ownership / constraints / state / audit / reconciliation</x:v>
      </x:c>
      <x:c r="D311" s="10" t="str">
        <x:v>Technical tester</x:v>
      </x:c>
      <x:c r="E311" s="11" t="str">
        <x:v>Candidate schema; compare deployed ledger</x:v>
      </x:c>
      <x:c r="F311" s="10" t="str">
        <x:v>migrations/023_member_foundation.sql</x:v>
      </x:c>
      <x:c r="G311" s="11" t="str">
        <x:v>tpa.postal_versions</x:v>
      </x:c>
      <x:c r="H311" s="11" t="str">
        <x:v>PostgreSQL</x:v>
      </x:c>
      <x:c r="I311" s="11" t="str">
        <x:v>QA-0248 to QA-0249; QA-0252</x:v>
      </x:c>
      <x:c r="J311" s="11" t="str">
        <x:v>Not reviewed</x:v>
      </x:c>
      <x:c r="K311" s="11" t="str">
        <x:v>Entity-specific queries and E2E IDs must be added after tracing live schema.</x:v>
      </x:c>
    </x:row>
    <x:row r="312" ht="38" customHeight="1">
      <x:c r="A312" s="10" t="str">
        <x:v>Database entity</x:v>
      </x:c>
      <x:c r="B312" s="10" t="str">
        <x:v>tpa.postal_locations</x:v>
      </x:c>
      <x:c r="C312" s="10" t="str">
        <x:v>Keys / ownership / constraints / state / audit / reconciliation</x:v>
      </x:c>
      <x:c r="D312" s="10" t="str">
        <x:v>Technical tester</x:v>
      </x:c>
      <x:c r="E312" s="11" t="str">
        <x:v>Candidate schema; compare deployed ledger</x:v>
      </x:c>
      <x:c r="F312" s="10" t="str">
        <x:v>migrations/023_member_foundation.sql</x:v>
      </x:c>
      <x:c r="G312" s="11" t="str">
        <x:v>tpa.postal_locations</x:v>
      </x:c>
      <x:c r="H312" s="11" t="str">
        <x:v>PostgreSQL</x:v>
      </x:c>
      <x:c r="I312" s="11" t="str">
        <x:v>QA-0248 to QA-0249; QA-0252</x:v>
      </x:c>
      <x:c r="J312" s="11" t="str">
        <x:v>Not reviewed</x:v>
      </x:c>
      <x:c r="K312" s="11" t="str">
        <x:v>Entity-specific queries and E2E IDs must be added after tracing live schema.</x:v>
      </x:c>
    </x:row>
    <x:row r="313" ht="38" customHeight="1">
      <x:c r="A313" s="10" t="str">
        <x:v>Database entity</x:v>
      </x:c>
      <x:c r="B313" s="10" t="str">
        <x:v>tpa.postal_city_aliases</x:v>
      </x:c>
      <x:c r="C313" s="10" t="str">
        <x:v>Keys / ownership / constraints / state / audit / reconciliation</x:v>
      </x:c>
      <x:c r="D313" s="10" t="str">
        <x:v>Technical tester</x:v>
      </x:c>
      <x:c r="E313" s="11" t="str">
        <x:v>Candidate schema; compare deployed ledger</x:v>
      </x:c>
      <x:c r="F313" s="10" t="str">
        <x:v>migrations/023_member_foundation.sql</x:v>
      </x:c>
      <x:c r="G313" s="11" t="str">
        <x:v>tpa.postal_city_aliases</x:v>
      </x:c>
      <x:c r="H313" s="11" t="str">
        <x:v>PostgreSQL</x:v>
      </x:c>
      <x:c r="I313" s="11" t="str">
        <x:v>QA-0248 to QA-0249; QA-0252</x:v>
      </x:c>
      <x:c r="J313" s="11" t="str">
        <x:v>Not reviewed</x:v>
      </x:c>
      <x:c r="K313" s="11" t="str">
        <x:v>Entity-specific queries and E2E IDs must be added after tracing live schema.</x:v>
      </x:c>
    </x:row>
    <x:row r="314" ht="38" customHeight="1">
      <x:c r="A314" s="10" t="str">
        <x:v>Database entity</x:v>
      </x:c>
      <x:c r="B314" s="10" t="str">
        <x:v>tpa.account_invitation_holds</x:v>
      </x:c>
      <x:c r="C314" s="10" t="str">
        <x:v>Keys / ownership / constraints / state / audit / reconciliation</x:v>
      </x:c>
      <x:c r="D314" s="10" t="str">
        <x:v>Technical tester</x:v>
      </x:c>
      <x:c r="E314" s="11" t="str">
        <x:v>Candidate schema; compare deployed ledger</x:v>
      </x:c>
      <x:c r="F314" s="10" t="str">
        <x:v>migrations/027_account_invitation_holds.sql</x:v>
      </x:c>
      <x:c r="G314" s="11" t="str">
        <x:v>tpa.account_invitation_holds</x:v>
      </x:c>
      <x:c r="H314" s="11" t="str">
        <x:v>PostgreSQL</x:v>
      </x:c>
      <x:c r="I314" s="11" t="str">
        <x:v>QA-0248 to QA-0249; QA-0252</x:v>
      </x:c>
      <x:c r="J314" s="11" t="str">
        <x:v>Not reviewed</x:v>
      </x:c>
      <x:c r="K314" s="11" t="str">
        <x:v>Entity-specific queries and E2E IDs must be added after tracing live schema.</x:v>
      </x:c>
    </x:row>
    <x:row r="315" ht="38" customHeight="1">
      <x:c r="A315" s="10" t="str">
        <x:v>Database entity</x:v>
      </x:c>
      <x:c r="B315" s="10" t="str">
        <x:v>tpa.member_import_jobs</x:v>
      </x:c>
      <x:c r="C315" s="10" t="str">
        <x:v>Keys / ownership / constraints / state / audit / reconciliation</x:v>
      </x:c>
      <x:c r="D315" s="10" t="str">
        <x:v>Technical tester</x:v>
      </x:c>
      <x:c r="E315" s="11" t="str">
        <x:v>Candidate schema; compare deployed ledger</x:v>
      </x:c>
      <x:c r="F315" s="10" t="str">
        <x:v>migrations/028_member_import_jobs.sql</x:v>
      </x:c>
      <x:c r="G315" s="11" t="str">
        <x:v>tpa.member_import_jobs</x:v>
      </x:c>
      <x:c r="H315" s="11" t="str">
        <x:v>PostgreSQL</x:v>
      </x:c>
      <x:c r="I315" s="11" t="str">
        <x:v>QA-0248 to QA-0249; QA-0252</x:v>
      </x:c>
      <x:c r="J315" s="11" t="str">
        <x:v>Not reviewed</x:v>
      </x:c>
      <x:c r="K315" s="11" t="str">
        <x:v>Entity-specific queries and E2E IDs must be added after tracing live schema.</x:v>
      </x:c>
    </x:row>
    <x:row r="316" ht="38" customHeight="1">
      <x:c r="A316" s="10" t="str">
        <x:v>Database entity</x:v>
      </x:c>
      <x:c r="B316" s="10" t="str">
        <x:v>tpa.member_import_job_rows</x:v>
      </x:c>
      <x:c r="C316" s="10" t="str">
        <x:v>Keys / ownership / constraints / state / audit / reconciliation</x:v>
      </x:c>
      <x:c r="D316" s="10" t="str">
        <x:v>Technical tester</x:v>
      </x:c>
      <x:c r="E316" s="11" t="str">
        <x:v>Candidate schema; compare deployed ledger</x:v>
      </x:c>
      <x:c r="F316" s="10" t="str">
        <x:v>migrations/028_member_import_jobs.sql</x:v>
      </x:c>
      <x:c r="G316" s="11" t="str">
        <x:v>tpa.member_import_job_rows</x:v>
      </x:c>
      <x:c r="H316" s="11" t="str">
        <x:v>PostgreSQL</x:v>
      </x:c>
      <x:c r="I316" s="11" t="str">
        <x:v>QA-0248 to QA-0249; QA-0252</x:v>
      </x:c>
      <x:c r="J316" s="11" t="str">
        <x:v>Not reviewed</x:v>
      </x:c>
      <x:c r="K316" s="11" t="str">
        <x:v>Entity-specific queries and E2E IDs must be added after tracing live schema.</x:v>
      </x:c>
    </x:row>
    <x:row r="317" ht="38" customHeight="1">
      <x:c r="A317" s="10" t="str">
        <x:v>Database entity</x:v>
      </x:c>
      <x:c r="B317" s="10" t="str">
        <x:v>tpa.member_import_worker_state</x:v>
      </x:c>
      <x:c r="C317" s="10" t="str">
        <x:v>Keys / ownership / constraints / state / audit / reconciliation</x:v>
      </x:c>
      <x:c r="D317" s="10" t="str">
        <x:v>Technical tester</x:v>
      </x:c>
      <x:c r="E317" s="11" t="str">
        <x:v>Candidate schema; compare deployed ledger</x:v>
      </x:c>
      <x:c r="F317" s="10" t="str">
        <x:v>migrations/028_member_import_jobs.sql</x:v>
      </x:c>
      <x:c r="G317" s="11" t="str">
        <x:v>tpa.member_import_worker_state</x:v>
      </x:c>
      <x:c r="H317" s="11" t="str">
        <x:v>PostgreSQL</x:v>
      </x:c>
      <x:c r="I317" s="11" t="str">
        <x:v>QA-0248 to QA-0249; QA-0252</x:v>
      </x:c>
      <x:c r="J317" s="11" t="str">
        <x:v>Not reviewed</x:v>
      </x:c>
      <x:c r="K317" s="11" t="str">
        <x:v>Entity-specific queries and E2E IDs must be added after tracing live schema.</x:v>
      </x:c>
    </x:row>
    <x:row r="318" ht="38" customHeight="1">
      <x:c r="A318" s="10" t="str">
        <x:v>Database entity</x:v>
      </x:c>
      <x:c r="B318" s="10" t="str">
        <x:v>tpa.invitation_templates</x:v>
      </x:c>
      <x:c r="C318" s="10" t="str">
        <x:v>Keys / ownership / constraints / state / audit / reconciliation</x:v>
      </x:c>
      <x:c r="D318" s="10" t="str">
        <x:v>Technical tester</x:v>
      </x:c>
      <x:c r="E318" s="11" t="str">
        <x:v>Candidate schema; compare deployed ledger</x:v>
      </x:c>
      <x:c r="F318" s="10" t="str">
        <x:v>migrations/029_controlled_invitations.sql</x:v>
      </x:c>
      <x:c r="G318" s="11" t="str">
        <x:v>tpa.invitation_templates</x:v>
      </x:c>
      <x:c r="H318" s="11" t="str">
        <x:v>PostgreSQL</x:v>
      </x:c>
      <x:c r="I318" s="11" t="str">
        <x:v>QA-0248 to QA-0249; QA-0252</x:v>
      </x:c>
      <x:c r="J318" s="11" t="str">
        <x:v>Not reviewed</x:v>
      </x:c>
      <x:c r="K318" s="11" t="str">
        <x:v>Entity-specific queries and E2E IDs must be added after tracing live schema.</x:v>
      </x:c>
    </x:row>
    <x:row r="319" ht="38" customHeight="1">
      <x:c r="A319" s="10" t="str">
        <x:v>Database entity</x:v>
      </x:c>
      <x:c r="B319" s="10" t="str">
        <x:v>tpa.invitation_template_state</x:v>
      </x:c>
      <x:c r="C319" s="10" t="str">
        <x:v>Keys / ownership / constraints / state / audit / reconciliation</x:v>
      </x:c>
      <x:c r="D319" s="10" t="str">
        <x:v>Technical tester</x:v>
      </x:c>
      <x:c r="E319" s="11" t="str">
        <x:v>Candidate schema; compare deployed ledger</x:v>
      </x:c>
      <x:c r="F319" s="10" t="str">
        <x:v>migrations/029_controlled_invitations.sql</x:v>
      </x:c>
      <x:c r="G319" s="11" t="str">
        <x:v>tpa.invitation_template_state</x:v>
      </x:c>
      <x:c r="H319" s="11" t="str">
        <x:v>PostgreSQL</x:v>
      </x:c>
      <x:c r="I319" s="11" t="str">
        <x:v>QA-0248 to QA-0249; QA-0252</x:v>
      </x:c>
      <x:c r="J319" s="11" t="str">
        <x:v>Not reviewed</x:v>
      </x:c>
      <x:c r="K319" s="11" t="str">
        <x:v>Entity-specific queries and E2E IDs must be added after tracing live schema.</x:v>
      </x:c>
    </x:row>
    <x:row r="320" ht="38" customHeight="1">
      <x:c r="A320" s="10" t="str">
        <x:v>Database entity</x:v>
      </x:c>
      <x:c r="B320" s="10" t="str">
        <x:v>tpa.invitation_release_reviews</x:v>
      </x:c>
      <x:c r="C320" s="10" t="str">
        <x:v>Keys / ownership / constraints / state / audit / reconciliation</x:v>
      </x:c>
      <x:c r="D320" s="10" t="str">
        <x:v>Technical tester</x:v>
      </x:c>
      <x:c r="E320" s="11" t="str">
        <x:v>Candidate schema; compare deployed ledger</x:v>
      </x:c>
      <x:c r="F320" s="10" t="str">
        <x:v>migrations/029_controlled_invitations.sql</x:v>
      </x:c>
      <x:c r="G320" s="11" t="str">
        <x:v>tpa.invitation_release_reviews</x:v>
      </x:c>
      <x:c r="H320" s="11" t="str">
        <x:v>PostgreSQL</x:v>
      </x:c>
      <x:c r="I320" s="11" t="str">
        <x:v>QA-0248 to QA-0249; QA-0252</x:v>
      </x:c>
      <x:c r="J320" s="11" t="str">
        <x:v>Not reviewed</x:v>
      </x:c>
      <x:c r="K320" s="11" t="str">
        <x:v>Entity-specific queries and E2E IDs must be added after tracing live schema.</x:v>
      </x:c>
    </x:row>
    <x:row r="321" ht="38" customHeight="1">
      <x:c r="A321" s="10" t="str">
        <x:v>Database entity</x:v>
      </x:c>
      <x:c r="B321" s="10" t="str">
        <x:v>tpa.event_reminders</x:v>
      </x:c>
      <x:c r="C321" s="10" t="str">
        <x:v>Keys / ownership / constraints / state / audit / reconciliation</x:v>
      </x:c>
      <x:c r="D321" s="10" t="str">
        <x:v>Technical tester</x:v>
      </x:c>
      <x:c r="E321" s="11" t="str">
        <x:v>Candidate schema; compare deployed ledger</x:v>
      </x:c>
      <x:c r="F321" s="10" t="str">
        <x:v>migrations/030_event_flow.sql</x:v>
      </x:c>
      <x:c r="G321" s="11" t="str">
        <x:v>tpa.event_reminders</x:v>
      </x:c>
      <x:c r="H321" s="11" t="str">
        <x:v>PostgreSQL</x:v>
      </x:c>
      <x:c r="I321" s="11" t="str">
        <x:v>QA-0248 to QA-0249; QA-0252</x:v>
      </x:c>
      <x:c r="J321" s="11" t="str">
        <x:v>Not reviewed</x:v>
      </x:c>
      <x:c r="K321" s="11" t="str">
        <x:v>Entity-specific queries and E2E IDs must be added after tracing live schema.</x:v>
      </x:c>
    </x:row>
    <x:row r="322" ht="38" customHeight="1">
      <x:c r="A322" s="10" t="str">
        <x:v>Database entity</x:v>
      </x:c>
      <x:c r="B322" s="10" t="str">
        <x:v>tpa.event_payment_history</x:v>
      </x:c>
      <x:c r="C322" s="10" t="str">
        <x:v>Keys / ownership / constraints / state / audit / reconciliation</x:v>
      </x:c>
      <x:c r="D322" s="10" t="str">
        <x:v>Technical tester</x:v>
      </x:c>
      <x:c r="E322" s="11" t="str">
        <x:v>Candidate schema; compare deployed ledger</x:v>
      </x:c>
      <x:c r="F322" s="10" t="str">
        <x:v>migrations/030_event_flow.sql</x:v>
      </x:c>
      <x:c r="G322" s="11" t="str">
        <x:v>tpa.event_payment_history</x:v>
      </x:c>
      <x:c r="H322" s="11" t="str">
        <x:v>PostgreSQL</x:v>
      </x:c>
      <x:c r="I322" s="11" t="str">
        <x:v>QA-0248 to QA-0249; QA-0252</x:v>
      </x:c>
      <x:c r="J322" s="11" t="str">
        <x:v>Not reviewed</x:v>
      </x:c>
      <x:c r="K322" s="11" t="str">
        <x:v>Entity-specific queries and E2E IDs must be added after tracing live schema.</x:v>
      </x:c>
    </x:row>
    <x:row r="323" ht="38" customHeight="1">
      <x:c r="A323" s="10" t="str">
        <x:v>Database entity</x:v>
      </x:c>
      <x:c r="B323" s="10" t="str">
        <x:v>tpa.flyer_variants</x:v>
      </x:c>
      <x:c r="C323" s="10" t="str">
        <x:v>Keys / ownership / constraints / state / audit / reconciliation</x:v>
      </x:c>
      <x:c r="D323" s="10" t="str">
        <x:v>Technical tester</x:v>
      </x:c>
      <x:c r="E323" s="11" t="str">
        <x:v>Candidate schema; compare deployed ledger</x:v>
      </x:c>
      <x:c r="F323" s="10" t="str">
        <x:v>migrations/031_event_engagement.sql</x:v>
      </x:c>
      <x:c r="G323" s="11" t="str">
        <x:v>tpa.flyer_variants</x:v>
      </x:c>
      <x:c r="H323" s="11" t="str">
        <x:v>PostgreSQL</x:v>
      </x:c>
      <x:c r="I323" s="11" t="str">
        <x:v>QA-0248 to QA-0249; QA-0252</x:v>
      </x:c>
      <x:c r="J323" s="11" t="str">
        <x:v>Not reviewed</x:v>
      </x:c>
      <x:c r="K323" s="11" t="str">
        <x:v>Entity-specific queries and E2E IDs must be added after tracing live schema.</x:v>
      </x:c>
    </x:row>
    <x:row r="324" ht="38" customHeight="1">
      <x:c r="A324" s="10" t="str">
        <x:v>Database entity</x:v>
      </x:c>
      <x:c r="B324" s="10" t="str">
        <x:v>tpa.event_promotion_settings</x:v>
      </x:c>
      <x:c r="C324" s="10" t="str">
        <x:v>Keys / ownership / constraints / state / audit / reconciliation</x:v>
      </x:c>
      <x:c r="D324" s="10" t="str">
        <x:v>Technical tester</x:v>
      </x:c>
      <x:c r="E324" s="11" t="str">
        <x:v>Candidate schema; compare deployed ledger</x:v>
      </x:c>
      <x:c r="F324" s="10" t="str">
        <x:v>migrations/031_event_engagement.sql</x:v>
      </x:c>
      <x:c r="G324" s="11" t="str">
        <x:v>tpa.event_promotion_settings</x:v>
      </x:c>
      <x:c r="H324" s="11" t="str">
        <x:v>PostgreSQL</x:v>
      </x:c>
      <x:c r="I324" s="11" t="str">
        <x:v>QA-0248 to QA-0249; QA-0252</x:v>
      </x:c>
      <x:c r="J324" s="11" t="str">
        <x:v>Not reviewed</x:v>
      </x:c>
      <x:c r="K324" s="11" t="str">
        <x:v>Entity-specific queries and E2E IDs must be added after tracing live schema.</x:v>
      </x:c>
    </x:row>
    <x:row r="325" ht="38" customHeight="1">
      <x:c r="A325" s="10" t="str">
        <x:v>Database entity</x:v>
      </x:c>
      <x:c r="B325" s="10" t="str">
        <x:v>tpa.event_promotions</x:v>
      </x:c>
      <x:c r="C325" s="10" t="str">
        <x:v>Keys / ownership / constraints / state / audit / reconciliation</x:v>
      </x:c>
      <x:c r="D325" s="10" t="str">
        <x:v>Technical tester</x:v>
      </x:c>
      <x:c r="E325" s="11" t="str">
        <x:v>Candidate schema; compare deployed ledger</x:v>
      </x:c>
      <x:c r="F325" s="10" t="str">
        <x:v>migrations/031_event_engagement.sql</x:v>
      </x:c>
      <x:c r="G325" s="11" t="str">
        <x:v>tpa.event_promotions</x:v>
      </x:c>
      <x:c r="H325" s="11" t="str">
        <x:v>PostgreSQL</x:v>
      </x:c>
      <x:c r="I325" s="11" t="str">
        <x:v>QA-0248 to QA-0249; QA-0252</x:v>
      </x:c>
      <x:c r="J325" s="11" t="str">
        <x:v>Not reviewed</x:v>
      </x:c>
      <x:c r="K325" s="11" t="str">
        <x:v>Entity-specific queries and E2E IDs must be added after tracing live schema.</x:v>
      </x:c>
    </x:row>
    <x:row r="326" ht="38" customHeight="1">
      <x:c r="A326" s="10" t="str">
        <x:v>Database entity</x:v>
      </x:c>
      <x:c r="B326" s="10" t="str">
        <x:v>tpa.event_assets</x:v>
      </x:c>
      <x:c r="C326" s="10" t="str">
        <x:v>Keys / ownership / constraints / state / audit / reconciliation</x:v>
      </x:c>
      <x:c r="D326" s="10" t="str">
        <x:v>Technical tester</x:v>
      </x:c>
      <x:c r="E326" s="11" t="str">
        <x:v>Candidate schema; compare deployed ledger</x:v>
      </x:c>
      <x:c r="F326" s="10" t="str">
        <x:v>migrations/031_event_engagement.sql</x:v>
      </x:c>
      <x:c r="G326" s="11" t="str">
        <x:v>tpa.event_assets</x:v>
      </x:c>
      <x:c r="H326" s="11" t="str">
        <x:v>PostgreSQL</x:v>
      </x:c>
      <x:c r="I326" s="11" t="str">
        <x:v>QA-0248 to QA-0249; QA-0252</x:v>
      </x:c>
      <x:c r="J326" s="11" t="str">
        <x:v>Not reviewed</x:v>
      </x:c>
      <x:c r="K326" s="11" t="str">
        <x:v>Entity-specific queries and E2E IDs must be added after tracing live schema.</x:v>
      </x:c>
    </x:row>
    <x:row r="327" ht="38" customHeight="1">
      <x:c r="A327" s="10" t="str">
        <x:v>Database entity</x:v>
      </x:c>
      <x:c r="B327" s="10" t="str">
        <x:v>tpa.event_badge_rules</x:v>
      </x:c>
      <x:c r="C327" s="10" t="str">
        <x:v>Keys / ownership / constraints / state / audit / reconciliation</x:v>
      </x:c>
      <x:c r="D327" s="10" t="str">
        <x:v>Technical tester</x:v>
      </x:c>
      <x:c r="E327" s="11" t="str">
        <x:v>Candidate schema; compare deployed ledger</x:v>
      </x:c>
      <x:c r="F327" s="10" t="str">
        <x:v>migrations/031_event_engagement.sql</x:v>
      </x:c>
      <x:c r="G327" s="11" t="str">
        <x:v>tpa.event_badge_rules</x:v>
      </x:c>
      <x:c r="H327" s="11" t="str">
        <x:v>PostgreSQL</x:v>
      </x:c>
      <x:c r="I327" s="11" t="str">
        <x:v>QA-0248 to QA-0249; QA-0252</x:v>
      </x:c>
      <x:c r="J327" s="11" t="str">
        <x:v>Not reviewed</x:v>
      </x:c>
      <x:c r="K327" s="11" t="str">
        <x:v>Entity-specific queries and E2E IDs must be added after tracing live schema.</x:v>
      </x:c>
    </x:row>
    <x:row r="328" ht="38" customHeight="1">
      <x:c r="A328" s="10" t="str">
        <x:v>Database entity</x:v>
      </x:c>
      <x:c r="B328" s="10" t="str">
        <x:v>tpa.event_payment_configurations</x:v>
      </x:c>
      <x:c r="C328" s="10" t="str">
        <x:v>Keys / ownership / constraints / state / audit / reconciliation</x:v>
      </x:c>
      <x:c r="D328" s="10" t="str">
        <x:v>Technical tester</x:v>
      </x:c>
      <x:c r="E328" s="11" t="str">
        <x:v>Candidate schema; compare deployed ledger</x:v>
      </x:c>
      <x:c r="F328" s="10" t="str">
        <x:v>migrations/032_event_operations.sql</x:v>
      </x:c>
      <x:c r="G328" s="11" t="str">
        <x:v>tpa.event_payment_configurations</x:v>
      </x:c>
      <x:c r="H328" s="11" t="str">
        <x:v>PostgreSQL</x:v>
      </x:c>
      <x:c r="I328" s="11" t="str">
        <x:v>QA-0248 to QA-0249; QA-0252</x:v>
      </x:c>
      <x:c r="J328" s="11" t="str">
        <x:v>Not reviewed</x:v>
      </x:c>
      <x:c r="K328" s="11" t="str">
        <x:v>Entity-specific queries and E2E IDs must be added after tracing live schema.</x:v>
      </x:c>
    </x:row>
    <x:row r="329" ht="38" customHeight="1">
      <x:c r="A329" s="10" t="str">
        <x:v>Database entity</x:v>
      </x:c>
      <x:c r="B329" s="10" t="str">
        <x:v>tpa.event_booking_payment_configurations</x:v>
      </x:c>
      <x:c r="C329" s="10" t="str">
        <x:v>Keys / ownership / constraints / state / audit / reconciliation</x:v>
      </x:c>
      <x:c r="D329" s="10" t="str">
        <x:v>Technical tester</x:v>
      </x:c>
      <x:c r="E329" s="11" t="str">
        <x:v>Candidate schema; compare deployed ledger</x:v>
      </x:c>
      <x:c r="F329" s="10" t="str">
        <x:v>migrations/032_event_operations.sql</x:v>
      </x:c>
      <x:c r="G329" s="11" t="str">
        <x:v>tpa.event_booking_payment_configurations</x:v>
      </x:c>
      <x:c r="H329" s="11" t="str">
        <x:v>PostgreSQL</x:v>
      </x:c>
      <x:c r="I329" s="11" t="str">
        <x:v>QA-0248 to QA-0249; QA-0252</x:v>
      </x:c>
      <x:c r="J329" s="11" t="str">
        <x:v>Not reviewed</x:v>
      </x:c>
      <x:c r="K329" s="11" t="str">
        <x:v>Entity-specific queries and E2E IDs must be added after tracing live schema.</x:v>
      </x:c>
    </x:row>
    <x:row r="330" ht="38" customHeight="1">
      <x:c r="A330" s="10" t="str">
        <x:v>Database entity</x:v>
      </x:c>
      <x:c r="B330" s="10" t="str">
        <x:v>tpa.event_operation_history</x:v>
      </x:c>
      <x:c r="C330" s="10" t="str">
        <x:v>Keys / ownership / constraints / state / audit / reconciliation</x:v>
      </x:c>
      <x:c r="D330" s="10" t="str">
        <x:v>Technical tester</x:v>
      </x:c>
      <x:c r="E330" s="11" t="str">
        <x:v>Candidate schema; compare deployed ledger</x:v>
      </x:c>
      <x:c r="F330" s="10" t="str">
        <x:v>migrations/032_event_operations.sql</x:v>
      </x:c>
      <x:c r="G330" s="11" t="str">
        <x:v>tpa.event_operation_history</x:v>
      </x:c>
      <x:c r="H330" s="11" t="str">
        <x:v>PostgreSQL</x:v>
      </x:c>
      <x:c r="I330" s="11" t="str">
        <x:v>QA-0248 to QA-0249; QA-0252</x:v>
      </x:c>
      <x:c r="J330" s="11" t="str">
        <x:v>Not reviewed</x:v>
      </x:c>
      <x:c r="K330" s="11" t="str">
        <x:v>Entity-specific queries and E2E IDs must be added after tracing live schema.</x:v>
      </x:c>
    </x:row>
    <x:row r="331" ht="38" customHeight="1">
      <x:c r="A331" s="10" t="str">
        <x:v>Database entity</x:v>
      </x:c>
      <x:c r="B331" s="10" t="str">
        <x:v>tpa.event_badges</x:v>
      </x:c>
      <x:c r="C331" s="10" t="str">
        <x:v>Keys / ownership / constraints / state / audit / reconciliation</x:v>
      </x:c>
      <x:c r="D331" s="10" t="str">
        <x:v>Technical tester</x:v>
      </x:c>
      <x:c r="E331" s="11" t="str">
        <x:v>Candidate schema; compare deployed ledger</x:v>
      </x:c>
      <x:c r="F331" s="10" t="str">
        <x:v>migrations/032_event_operations.sql</x:v>
      </x:c>
      <x:c r="G331" s="11" t="str">
        <x:v>tpa.event_badges</x:v>
      </x:c>
      <x:c r="H331" s="11" t="str">
        <x:v>PostgreSQL</x:v>
      </x:c>
      <x:c r="I331" s="11" t="str">
        <x:v>QA-0248 to QA-0249; QA-0252</x:v>
      </x:c>
      <x:c r="J331" s="11" t="str">
        <x:v>Not reviewed</x:v>
      </x:c>
      <x:c r="K331" s="11" t="str">
        <x:v>Entity-specific queries and E2E IDs must be added after tracing live schema.</x:v>
      </x:c>
    </x:row>
    <x:row r="332" ht="38" customHeight="1">
      <x:c r="A332" s="10" t="str">
        <x:v>Database entity</x:v>
      </x:c>
      <x:c r="B332" s="10" t="str">
        <x:v>tpa.event_expenses</x:v>
      </x:c>
      <x:c r="C332" s="10" t="str">
        <x:v>Keys / ownership / constraints / state / audit / reconciliation</x:v>
      </x:c>
      <x:c r="D332" s="10" t="str">
        <x:v>Technical tester</x:v>
      </x:c>
      <x:c r="E332" s="11" t="str">
        <x:v>Candidate schema; compare deployed ledger</x:v>
      </x:c>
      <x:c r="F332" s="10" t="str">
        <x:v>migrations/032_event_operations.sql</x:v>
      </x:c>
      <x:c r="G332" s="11" t="str">
        <x:v>tpa.event_expenses</x:v>
      </x:c>
      <x:c r="H332" s="11" t="str">
        <x:v>PostgreSQL</x:v>
      </x:c>
      <x:c r="I332" s="11" t="str">
        <x:v>QA-0248 to QA-0249; QA-0252</x:v>
      </x:c>
      <x:c r="J332" s="11" t="str">
        <x:v>Not reviewed</x:v>
      </x:c>
      <x:c r="K332" s="11" t="str">
        <x:v>Entity-specific queries and E2E IDs must be added after tracing live schema.</x:v>
      </x:c>
    </x:row>
    <x:row r="333" ht="38" customHeight="1">
      <x:c r="A333" s="10" t="str">
        <x:v>Database entity</x:v>
      </x:c>
      <x:c r="B333" s="10" t="str">
        <x:v>tpa.event_entitlements</x:v>
      </x:c>
      <x:c r="C333" s="10" t="str">
        <x:v>Keys / ownership / constraints / state / audit / reconciliation</x:v>
      </x:c>
      <x:c r="D333" s="10" t="str">
        <x:v>Technical tester</x:v>
      </x:c>
      <x:c r="E333" s="11" t="str">
        <x:v>Candidate schema; compare deployed ledger</x:v>
      </x:c>
      <x:c r="F333" s="10" t="str">
        <x:v>migrations/032_event_operations.sql</x:v>
      </x:c>
      <x:c r="G333" s="11" t="str">
        <x:v>tpa.event_entitlements</x:v>
      </x:c>
      <x:c r="H333" s="11" t="str">
        <x:v>PostgreSQL</x:v>
      </x:c>
      <x:c r="I333" s="11" t="str">
        <x:v>QA-0248 to QA-0249; QA-0252</x:v>
      </x:c>
      <x:c r="J333" s="11" t="str">
        <x:v>Not reviewed</x:v>
      </x:c>
      <x:c r="K333" s="11" t="str">
        <x:v>Entity-specific queries and E2E IDs must be added after tracing live schema.</x:v>
      </x:c>
    </x:row>
    <x:row r="334" ht="38" customHeight="1">
      <x:c r="A334" s="10" t="str">
        <x:v>Database entity</x:v>
      </x:c>
      <x:c r="B334" s="10" t="str">
        <x:v>tpa.event_announcements</x:v>
      </x:c>
      <x:c r="C334" s="10" t="str">
        <x:v>Keys / ownership / constraints / state / audit / reconciliation</x:v>
      </x:c>
      <x:c r="D334" s="10" t="str">
        <x:v>Technical tester</x:v>
      </x:c>
      <x:c r="E334" s="11" t="str">
        <x:v>Candidate schema; compare deployed ledger</x:v>
      </x:c>
      <x:c r="F334" s="10" t="str">
        <x:v>migrations/032_event_operations.sql</x:v>
      </x:c>
      <x:c r="G334" s="11" t="str">
        <x:v>tpa.event_announcements</x:v>
      </x:c>
      <x:c r="H334" s="11" t="str">
        <x:v>PostgreSQL</x:v>
      </x:c>
      <x:c r="I334" s="11" t="str">
        <x:v>QA-0248 to QA-0249; QA-0252</x:v>
      </x:c>
      <x:c r="J334" s="11" t="str">
        <x:v>Not reviewed</x:v>
      </x:c>
      <x:c r="K334" s="11" t="str">
        <x:v>Entity-specific queries and E2E IDs must be added after tracing live schema.</x:v>
      </x:c>
    </x:row>
    <x:row r="335" ht="38" customHeight="1">
      <x:c r="A335" s="10" t="str">
        <x:v>Database entity</x:v>
      </x:c>
      <x:c r="B335" s="10" t="str">
        <x:v>tpa.website_settings</x:v>
      </x:c>
      <x:c r="C335" s="10" t="str">
        <x:v>Keys / ownership / constraints / state / audit / reconciliation</x:v>
      </x:c>
      <x:c r="D335" s="10" t="str">
        <x:v>Technical tester</x:v>
      </x:c>
      <x:c r="E335" s="11" t="str">
        <x:v>Candidate schema; compare deployed ledger</x:v>
      </x:c>
      <x:c r="F335" s="10" t="str">
        <x:v>migrations/033_website_control.sql</x:v>
      </x:c>
      <x:c r="G335" s="11" t="str">
        <x:v>tpa.website_settings</x:v>
      </x:c>
      <x:c r="H335" s="11" t="str">
        <x:v>PostgreSQL</x:v>
      </x:c>
      <x:c r="I335" s="11" t="str">
        <x:v>QA-0248 to QA-0249; QA-0252</x:v>
      </x:c>
      <x:c r="J335" s="11" t="str">
        <x:v>Not reviewed</x:v>
      </x:c>
      <x:c r="K335" s="11" t="str">
        <x:v>Entity-specific queries and E2E IDs must be added after tracing live schema.</x:v>
      </x:c>
    </x:row>
    <x:row r="336" ht="38" customHeight="1">
      <x:c r="A336" s="10" t="str">
        <x:v>Database entity</x:v>
      </x:c>
      <x:c r="B336" s="10" t="str">
        <x:v>tpa.website_resources</x:v>
      </x:c>
      <x:c r="C336" s="10" t="str">
        <x:v>Keys / ownership / constraints / state / audit / reconciliation</x:v>
      </x:c>
      <x:c r="D336" s="10" t="str">
        <x:v>Technical tester</x:v>
      </x:c>
      <x:c r="E336" s="11" t="str">
        <x:v>Candidate schema; compare deployed ledger</x:v>
      </x:c>
      <x:c r="F336" s="10" t="str">
        <x:v>migrations/033_website_control.sql</x:v>
      </x:c>
      <x:c r="G336" s="11" t="str">
        <x:v>tpa.website_resources</x:v>
      </x:c>
      <x:c r="H336" s="11" t="str">
        <x:v>PostgreSQL</x:v>
      </x:c>
      <x:c r="I336" s="11" t="str">
        <x:v>QA-0248 to QA-0249; QA-0252</x:v>
      </x:c>
      <x:c r="J336" s="11" t="str">
        <x:v>Not reviewed</x:v>
      </x:c>
      <x:c r="K336" s="11" t="str">
        <x:v>Entity-specific queries and E2E IDs must be added after tracing live schema.</x:v>
      </x:c>
    </x:row>
    <x:row r="337" ht="38" customHeight="1">
      <x:c r="A337" s="10" t="str">
        <x:v>Database entity</x:v>
      </x:c>
      <x:c r="B337" s="10" t="str">
        <x:v>tpa.website_resource_files</x:v>
      </x:c>
      <x:c r="C337" s="10" t="str">
        <x:v>Keys / ownership / constraints / state / audit / reconciliation</x:v>
      </x:c>
      <x:c r="D337" s="10" t="str">
        <x:v>Technical tester</x:v>
      </x:c>
      <x:c r="E337" s="11" t="str">
        <x:v>Candidate schema; compare deployed ledger</x:v>
      </x:c>
      <x:c r="F337" s="10" t="str">
        <x:v>migrations/033_website_control.sql</x:v>
      </x:c>
      <x:c r="G337" s="11" t="str">
        <x:v>tpa.website_resource_files</x:v>
      </x:c>
      <x:c r="H337" s="11" t="str">
        <x:v>PostgreSQL</x:v>
      </x:c>
      <x:c r="I337" s="11" t="str">
        <x:v>QA-0248 to QA-0249; QA-0252</x:v>
      </x:c>
      <x:c r="J337" s="11" t="str">
        <x:v>Not reviewed</x:v>
      </x:c>
      <x:c r="K337" s="11" t="str">
        <x:v>Entity-specific queries and E2E IDs must be added after tracing live schema.</x:v>
      </x:c>
    </x:row>
    <x:row r="338" ht="38" customHeight="1">
      <x:c r="A338" s="10" t="str">
        <x:v>Database entity</x:v>
      </x:c>
      <x:c r="B338" s="10" t="str">
        <x:v>tpa.website_revisions</x:v>
      </x:c>
      <x:c r="C338" s="10" t="str">
        <x:v>Keys / ownership / constraints / state / audit / reconciliation</x:v>
      </x:c>
      <x:c r="D338" s="10" t="str">
        <x:v>Technical tester</x:v>
      </x:c>
      <x:c r="E338" s="11" t="str">
        <x:v>Candidate schema; compare deployed ledger</x:v>
      </x:c>
      <x:c r="F338" s="10" t="str">
        <x:v>migrations/033_website_control.sql</x:v>
      </x:c>
      <x:c r="G338" s="11" t="str">
        <x:v>tpa.website_revisions</x:v>
      </x:c>
      <x:c r="H338" s="11" t="str">
        <x:v>PostgreSQL</x:v>
      </x:c>
      <x:c r="I338" s="11" t="str">
        <x:v>QA-0248 to QA-0249; QA-0252</x:v>
      </x:c>
      <x:c r="J338" s="11" t="str">
        <x:v>Not reviewed</x:v>
      </x:c>
      <x:c r="K338" s="11" t="str">
        <x:v>Entity-specific queries and E2E IDs must be added after tracing live schema.</x:v>
      </x:c>
    </x:row>
    <x:row r="339" ht="38" customHeight="1">
      <x:c r="A339" s="10" t="str">
        <x:v>Integration</x:v>
      </x:c>
      <x:c r="B339" s="10" t="str">
        <x:v>Email provider</x:v>
      </x:c>
      <x:c r="C339" s="10" t="str">
        <x:v>Transactional sending / campaigns / inbound / signed webhook / quota / suppressions</x:v>
      </x:c>
      <x:c r="D339" s="10" t="str">
        <x:v>Technical tester</x:v>
      </x:c>
      <x:c r="E339" s="11" t="str">
        <x:v>Runtime configuration unverified</x:v>
      </x:c>
      <x:c r="F339" s="10" t="str">
        <x:v>Approved plan + canonical integration services</x:v>
      </x:c>
      <x:c r="G339" s="11" t="str"/>
      <x:c r="H339" s="11" t="str">
        <x:v>Configured provider / worker</x:v>
      </x:c>
      <x:c r="I339" s="11" t="str">
        <x:v>QA-0166 to QA-0195</x:v>
      </x:c>
      <x:c r="J339" s="11" t="str">
        <x:v>Not reviewed</x:v>
      </x:c>
      <x:c r="K339" s="11" t="str">
        <x:v>Record provider/config identity and approved test scope without credentials.</x:v>
      </x:c>
    </x:row>
    <x:row r="340" ht="38" customHeight="1">
      <x:c r="A340" s="10" t="str">
        <x:v>Integration</x:v>
      </x:c>
      <x:c r="B340" s="10" t="str">
        <x:v>Object storage</x:v>
      </x:c>
      <x:c r="C340" s="10" t="str">
        <x:v>Private documents / editorial images / portraits / PDFs / event assets / finance receipts</x:v>
      </x:c>
      <x:c r="D340" s="10" t="str">
        <x:v>Technical tester</x:v>
      </x:c>
      <x:c r="E340" s="11" t="str">
        <x:v>Runtime configuration unverified</x:v>
      </x:c>
      <x:c r="F340" s="10" t="str">
        <x:v>Approved plan + canonical integration services</x:v>
      </x:c>
      <x:c r="G340" s="11" t="str"/>
      <x:c r="H340" s="11" t="str">
        <x:v>Configured provider / worker</x:v>
      </x:c>
      <x:c r="I340" s="11" t="str">
        <x:v>QA-0248 to QA-0260</x:v>
      </x:c>
      <x:c r="J340" s="11" t="str">
        <x:v>Not reviewed</x:v>
      </x:c>
      <x:c r="K340" s="11" t="str">
        <x:v>Record provider/config identity and approved test scope without credentials.</x:v>
      </x:c>
    </x:row>
    <x:row r="341" ht="38" customHeight="1">
      <x:c r="A341" s="10" t="str">
        <x:v>Integration</x:v>
      </x:c>
      <x:c r="B341" s="10" t="str">
        <x:v>Auth provider</x:v>
      </x:c>
      <x:c r="C341" s="10" t="str">
        <x:v>Password / token / session / optional OAuth</x:v>
      </x:c>
      <x:c r="D341" s="10" t="str">
        <x:v>Technical tester</x:v>
      </x:c>
      <x:c r="E341" s="11" t="str">
        <x:v>Runtime configuration unverified</x:v>
      </x:c>
      <x:c r="F341" s="10" t="str">
        <x:v>Approved plan + canonical integration services</x:v>
      </x:c>
      <x:c r="G341" s="11" t="str"/>
      <x:c r="H341" s="11" t="str">
        <x:v>Configured provider / worker</x:v>
      </x:c>
      <x:c r="I341" s="11" t="str">
        <x:v>QA-0017 to QA-0046</x:v>
      </x:c>
      <x:c r="J341" s="11" t="str">
        <x:v>Not reviewed</x:v>
      </x:c>
      <x:c r="K341" s="11" t="str">
        <x:v>Record provider/config identity and approved test scope without credentials.</x:v>
      </x:c>
    </x:row>
    <x:row r="342" ht="38" customHeight="1">
      <x:c r="A342" s="10" t="str">
        <x:v>Integration</x:v>
      </x:c>
      <x:c r="B342" s="10" t="str">
        <x:v>Email worker</x:v>
      </x:c>
      <x:c r="C342" s="10" t="str">
        <x:v>Leadership / durable queue / retries / priority / reminders / health</x:v>
      </x:c>
      <x:c r="D342" s="10" t="str">
        <x:v>Technical tester</x:v>
      </x:c>
      <x:c r="E342" s="11" t="str">
        <x:v>Runtime configuration unverified</x:v>
      </x:c>
      <x:c r="F342" s="10" t="str">
        <x:v>Approved plan + canonical integration services</x:v>
      </x:c>
      <x:c r="G342" s="11" t="str"/>
      <x:c r="H342" s="11" t="str">
        <x:v>Configured provider / worker</x:v>
      </x:c>
      <x:c r="I342" s="11" t="str">
        <x:v>QA-0248 to QA-0260</x:v>
      </x:c>
      <x:c r="J342" s="11" t="str">
        <x:v>Not reviewed</x:v>
      </x:c>
      <x:c r="K342" s="11" t="str">
        <x:v>Record provider/config identity and approved test scope without credentials.</x:v>
      </x:c>
    </x:row>
    <x:row r="343" ht="38" customHeight="1">
      <x:c r="A343" s="10" t="str">
        <x:v>Integration</x:v>
      </x:c>
      <x:c r="B343" s="10" t="str">
        <x:v>Import worker</x:v>
      </x:c>
      <x:c r="C343" s="10" t="str">
        <x:v>Chunks / resume / leases / diagnostic status</x:v>
      </x:c>
      <x:c r="D343" s="10" t="str">
        <x:v>Technical tester</x:v>
      </x:c>
      <x:c r="E343" s="11" t="str">
        <x:v>Runtime configuration unverified</x:v>
      </x:c>
      <x:c r="F343" s="10" t="str">
        <x:v>Approved plan + canonical integration services</x:v>
      </x:c>
      <x:c r="G343" s="11" t="str"/>
      <x:c r="H343" s="11" t="str">
        <x:v>Configured provider / worker</x:v>
      </x:c>
      <x:c r="I343" s="11" t="str">
        <x:v>QA-0248 to QA-0260</x:v>
      </x:c>
      <x:c r="J343" s="11" t="str">
        <x:v>Not reviewed</x:v>
      </x:c>
      <x:c r="K343" s="11" t="str">
        <x:v>Record provider/config identity and approved test scope without credentials.</x:v>
      </x:c>
    </x:row>
    <x:row r="344" ht="38" customHeight="1">
      <x:c r="A344" s="10" t="str">
        <x:v>Integration</x:v>
      </x:c>
      <x:c r="B344" s="10" t="str">
        <x:v>Runtime supervisor</x:v>
      </x:c>
      <x:c r="C344" s="10" t="str">
        <x:v>Independent web and worker health / restart / graceful shutdown</x:v>
      </x:c>
      <x:c r="D344" s="10" t="str">
        <x:v>Technical tester</x:v>
      </x:c>
      <x:c r="E344" s="11" t="str">
        <x:v>Runtime configuration unverified</x:v>
      </x:c>
      <x:c r="F344" s="10" t="str">
        <x:v>Approved plan + canonical integration services</x:v>
      </x:c>
      <x:c r="G344" s="11" t="str"/>
      <x:c r="H344" s="11" t="str">
        <x:v>Configured provider / worker</x:v>
      </x:c>
      <x:c r="I344" s="11" t="str">
        <x:v>QA-0248 to QA-0260</x:v>
      </x:c>
      <x:c r="J344" s="11" t="str">
        <x:v>Not reviewed</x:v>
      </x:c>
      <x:c r="K344" s="11" t="str">
        <x:v>Record provider/config identity and approved test scope without credentials.</x:v>
      </x:c>
    </x:row>
    <x:row r="345" ht="38" customHeight="1">
      <x:c r="A345" s="10" t="str">
        <x:v>Integration</x:v>
      </x:c>
      <x:c r="B345" s="10" t="str">
        <x:v>External destinations</x:v>
      </x:c>
      <x:c r="C345" s="10" t="str">
        <x:v>Payment QR / recording URLs / resource links / published external links</x:v>
      </x:c>
      <x:c r="D345" s="10" t="str">
        <x:v>Technical tester</x:v>
      </x:c>
      <x:c r="E345" s="11" t="str">
        <x:v>Runtime configuration unverified</x:v>
      </x:c>
      <x:c r="F345" s="10" t="str">
        <x:v>Approved plan + canonical integration services</x:v>
      </x:c>
      <x:c r="G345" s="11" t="str"/>
      <x:c r="H345" s="11" t="str">
        <x:v>Configured provider / worker</x:v>
      </x:c>
      <x:c r="I345" s="11" t="str">
        <x:v>QA-0008 to QA-0009; QA-0223</x:v>
      </x:c>
      <x:c r="J345" s="11" t="str">
        <x:v>Not reviewed</x:v>
      </x:c>
      <x:c r="K345" s="11" t="str">
        <x:v>Record provider/config identity and approved test scope without credentials.</x:v>
      </x:c>
    </x:row>
  </x:sheetData>
  <x:dataValidations count="1">
    <x:dataValidation type="list" sqref="J5:J345">
      <x:formula1>"Not reviewed,Reviewed,Gap"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44c554b5045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48" hidden="0" customWidth="1"/>
    <x:col min="4" max="4" width="48" hidden="0" customWidth="1"/>
    <x:col min="5" max="5" width="33" hidden="0" customWidth="1"/>
    <x:col min="6" max="6" width="12" hidden="0" customWidth="1"/>
    <x:col min="7" max="7" width="36" hidden="0" customWidth="1"/>
    <x:col min="8" max="8" width="66" hidden="0" customWidth="1"/>
    <x:col min="9" max="9" width="90" hidden="0" customWidth="1"/>
    <x:col min="10" max="10" width="85" hidden="0" customWidth="1"/>
    <x:col min="11" max="11" width="65" hidden="0" customWidth="1"/>
    <x:col min="12" max="12" width="20" hidden="0" customWidth="1"/>
    <x:col min="13" max="13" width="52" hidden="0" customWidth="1"/>
    <x:col min="14" max="14" width="35" hidden="0" customWidth="1"/>
    <x:col min="15" max="15" width="22" hidden="0" customWidth="1"/>
    <x:col min="16" max="16" width="36" hidden="0" customWidth="1"/>
    <x:col min="17" max="17" width="52" hidden="0" customWidth="1"/>
    <x:col min="18" max="18" width="58" hidden="0" customWidth="1"/>
    <x:col min="19" max="19" width="44" hidden="0" customWidth="1"/>
    <x:col min="20" max="20" width="58" hidden="0" customWidth="1"/>
    <x:col min="21" max="21" width="60" hidden="0" customWidth="1"/>
    <x:col min="22" max="22" width="2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Test Cases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6" customHeight="1">
      <x:c r="A4" s="8" t="str">
        <x:v>ID</x:v>
      </x:c>
      <x:c r="B4" s="8" t="str">
        <x:v>Module</x:v>
      </x:c>
      <x:c r="C4" s="8" t="str">
        <x:v>Scenario</x:v>
      </x:c>
      <x:c r="D4" s="8" t="str">
        <x:v>Page / subsection / API</x:v>
      </x:c>
      <x:c r="E4" s="8" t="str">
        <x:v>Role</x:v>
      </x:c>
      <x:c r="F4" s="8" t="str">
        <x:v>Priority</x:v>
      </x:c>
      <x:c r="G4" s="8" t="str">
        <x:v>Environment</x:v>
      </x:c>
      <x:c r="H4" s="8" t="str">
        <x:v>Preconditions / test data</x:v>
      </x:c>
      <x:c r="I4" s="8" t="str">
        <x:v>Steps</x:v>
      </x:c>
      <x:c r="J4" s="8" t="str">
        <x:v>Expected result</x:v>
      </x:c>
      <x:c r="K4" s="8" t="str">
        <x:v>Actual result</x:v>
      </x:c>
      <x:c r="L4" s="8" t="str">
        <x:v>Status</x:v>
      </x:c>
      <x:c r="M4" s="8" t="str">
        <x:v>Evidence links</x:v>
      </x:c>
      <x:c r="N4" s="8" t="str">
        <x:v>Related record IDs</x:v>
      </x:c>
      <x:c r="O4" s="8" t="str">
        <x:v>Defect ID</x:v>
      </x:c>
      <x:c r="P4" s="8" t="str">
        <x:v>Tester / date / build</x:v>
      </x:c>
      <x:c r="Q4" s="8" t="str">
        <x:v>Retest result</x:v>
      </x:c>
      <x:c r="R4" s="8" t="str">
        <x:v>Reason / exception</x:v>
      </x:c>
      <x:c r="S4" s="8" t="str">
        <x:v>Evidence type</x:v>
      </x:c>
      <x:c r="T4" s="8" t="str">
        <x:v>Source reference</x:v>
      </x:c>
      <x:c r="U4" s="8" t="str">
        <x:v>Cleanup / reconciliation</x:v>
      </x:c>
      <x:c r="V4" s="8" t="str">
        <x:v>Evidence check</x:v>
      </x:c>
    </x:row>
    <x:row r="5" ht="38" customHeight="1">
      <x:c r="A5" s="10" t="str">
        <x:v>QA-0001</x:v>
      </x:c>
      <x:c r="B5" s="10" t="str">
        <x:v>A. Preparation and inventory</x:v>
      </x:c>
      <x:c r="C5" s="10" t="str">
        <x:v>Release identity</x:v>
      </x:c>
      <x:c r="D5" s="10" t="str">
        <x:v>All routes / Start Here</x:v>
      </x:c>
      <x:c r="E5" s="10" t="str">
        <x:v>Technical tester</x:v>
      </x:c>
      <x:c r="F5" s="10" t="str">
        <x:v>P1</x:v>
      </x:c>
      <x:c r="G5" s="10" t="str">
        <x:v>Live - read-only</x:v>
      </x:c>
      <x:c r="H5" s="10" t="str">
        <x:v>Record deployed build. Use assigned test accounts, synthetic data and approved fixtures/recipients only.</x:v>
      </x:c>
      <x:c r="I5" s="10" t="str">
        <x:v>Record live URL, build/commit, deployment date, enabled features and tester browser/device in Start Here. Compare against the agreed candidate.</x:v>
      </x:c>
      <x:c r="J5" s="10" t="str">
        <x:v>Release identity is known; candidate-only features are labelled Not deployed, with evidence.</x:v>
      </x:c>
      <x:c r="K5" s="11" t="str"/>
      <x:c r="L5" s="11" t="str">
        <x:v>Not run</x:v>
      </x:c>
      <x:c r="M5" s="11" t="str"/>
      <x:c r="N5" s="11" t="str"/>
      <x:c r="O5" s="11" t="str"/>
      <x:c r="P5" s="11" t="str"/>
      <x:c r="Q5" s="11" t="str"/>
      <x:c r="R5" s="11" t="str"/>
      <x:c r="S5" s="10" t="str">
        <x:v>Browser + API + database</x:v>
      </x:c>
      <x:c r="T5" s="10" t="str">
        <x:v>Approved testing plan</x:v>
      </x:c>
      <x:c r="U5" s="10" t="str">
        <x:v>Reconcile tagged fixtures; archive/withdraw only owned test publications. Preserve audit/financial history.</x:v>
      </x:c>
      <x:c r="V5" s="12" t="str">
        <x:f>IF(A5="","",IF(L5="Not run","Pending",IF(OR(L5="Blocked",L5="Not deployed",L5="Not applicable"),IF(OR(K5="",R5=""),"Needs explanation","Recorded"),IF(OR(L5="Pass",L5="Fail"),IF(OR(K5="",M5="",P5=""),"Needs result/evidence/build","Recorded"),"Needs valid status"))))</x:f>
        <x:v>Pending</x:v>
      </x:c>
    </x:row>
    <x:row r="6" ht="38" customHeight="1">
      <x:c r="A6" s="10" t="str">
        <x:v>QA-0002</x:v>
      </x:c>
      <x:c r="B6" s="10" t="str">
        <x:v>A. Preparation and inventory</x:v>
      </x:c>
      <x:c r="C6" s="10" t="str">
        <x:v>Approved fixture scope</x:v>
      </x:c>
      <x:c r="D6" s="10" t="str">
        <x:v>All routes / Start Here</x:v>
      </x:c>
      <x:c r="E6" s="10" t="str">
        <x:v>Technical tester</x:v>
      </x:c>
      <x:c r="F6" s="10" t="str">
        <x:v>P1</x:v>
      </x:c>
      <x:c r="G6" s="10" t="str">
        <x:v>Live - read-only</x:v>
      </x:c>
      <x:c r="H6" s="10" t="str">
        <x:v>Record deployed build. Use assigned test accounts, synthetic data and approved fixtures/recipients only.</x:v>
      </x:c>
      <x:c r="I6" s="10" t="str">
        <x:v>List exact QA accounts, event/content IDs, recipient allowlist and permitted shared-setting changes before writes.</x:v>
      </x:c>
      <x:c r="J6" s="10" t="str">
        <x:v>Each live write/send has a defined test scope; missing scope is Blocked.</x:v>
      </x:c>
      <x:c r="K6" s="11" t="str"/>
      <x:c r="L6" s="11" t="str">
        <x:v>Not run</x:v>
      </x:c>
      <x:c r="M6" s="11" t="str"/>
      <x:c r="N6" s="11" t="str"/>
      <x:c r="O6" s="11" t="str"/>
      <x:c r="P6" s="11" t="str"/>
      <x:c r="Q6" s="11" t="str"/>
      <x:c r="R6" s="11" t="str"/>
      <x:c r="S6" s="10" t="str">
        <x:v>Browser + API + database</x:v>
      </x:c>
      <x:c r="T6" s="10" t="str">
        <x:v>Approved testing plan</x:v>
      </x:c>
      <x:c r="U6" s="10" t="str">
        <x:v>Reconcile tagged fixtures; archive/withdraw only owned test publications. Preserve audit/financial history.</x:v>
      </x:c>
      <x:c r="V6" s="12" t="str">
        <x:f>IF(A6="","",IF(L6="Not run","Pending",IF(OR(L6="Blocked",L6="Not deployed",L6="Not applicable"),IF(OR(K6="",R6=""),"Needs explanation","Recorded"),IF(OR(L6="Pass",L6="Fail"),IF(OR(K6="",M6="",P6=""),"Needs result/evidence/build","Recorded"),"Needs valid status"))))</x:f>
        <x:v>Pending</x:v>
      </x:c>
    </x:row>
    <x:row r="7" ht="38" customHeight="1">
      <x:c r="A7" s="10" t="str">
        <x:v>QA-0003</x:v>
      </x:c>
      <x:c r="B7" s="10" t="str">
        <x:v>A. Preparation and inventory</x:v>
      </x:c>
      <x:c r="C7" s="10" t="str">
        <x:v>Test account matrix</x:v>
      </x:c>
      <x:c r="D7" s="10" t="str">
        <x:v>All routes / Start Here</x:v>
      </x:c>
      <x:c r="E7" s="10" t="str">
        <x:v>Technical tester</x:v>
      </x:c>
      <x:c r="F7" s="10" t="str">
        <x:v>P1</x:v>
      </x:c>
      <x:c r="G7" s="10" t="str">
        <x:v>Live - read-only</x:v>
      </x:c>
      <x:c r="H7" s="10" t="str">
        <x:v>Record deployed build. Use assigned test accounts, synthetic data and approved fixtures/recipients only.</x:v>
      </x:c>
      <x:c r="I7" s="10" t="str">
        <x:v>Obtain six separate staff-role accounts, members A/B, an unverified account and held invitation account. Record aliases only.</x:v>
      </x:c>
      <x:c r="J7" s="10" t="str">
        <x:v>Accounts reflect intended roles and lifecycle states; no credentials appear in tracker.</x:v>
      </x:c>
      <x:c r="K7" s="11" t="str"/>
      <x:c r="L7" s="11" t="str">
        <x:v>Not run</x:v>
      </x:c>
      <x:c r="M7" s="11" t="str"/>
      <x:c r="N7" s="11" t="str"/>
      <x:c r="O7" s="11" t="str"/>
      <x:c r="P7" s="11" t="str"/>
      <x:c r="Q7" s="11" t="str"/>
      <x:c r="R7" s="11" t="str"/>
      <x:c r="S7" s="10" t="str">
        <x:v>Browser + API + database</x:v>
      </x:c>
      <x:c r="T7" s="10" t="str">
        <x:v>Approved testing plan</x:v>
      </x:c>
      <x:c r="U7" s="10" t="str">
        <x:v>Reconcile tagged fixtures; archive/withdraw only owned test publications. Preserve audit/financial history.</x:v>
      </x:c>
      <x:c r="V7" s="12" t="str">
        <x:f>IF(A7="","",IF(L7="Not run","Pending",IF(OR(L7="Blocked",L7="Not deployed",L7="Not applicable"),IF(OR(K7="",R7=""),"Needs explanation","Recorded"),IF(OR(L7="Pass",L7="Fail"),IF(OR(K7="",M7="",P7=""),"Needs result/evidence/build","Recorded"),"Needs valid status"))))</x:f>
        <x:v>Pending</x:v>
      </x:c>
    </x:row>
    <x:row r="8" ht="38" customHeight="1">
      <x:c r="A8" s="10" t="str">
        <x:v>QA-0004</x:v>
      </x:c>
      <x:c r="B8" s="10" t="str">
        <x:v>A. Preparation and inventory</x:v>
      </x:c>
      <x:c r="C8" s="10" t="str">
        <x:v>Baseline and cleanup register</x:v>
      </x:c>
      <x:c r="D8" s="10" t="str">
        <x:v>All routes / Start Here</x:v>
      </x:c>
      <x:c r="E8" s="10" t="str">
        <x:v>Technical tester</x:v>
      </x:c>
      <x:c r="F8" s="10" t="str">
        <x:v>P1</x:v>
      </x:c>
      <x:c r="G8" s="10" t="str">
        <x:v>Live - read-only</x:v>
      </x:c>
      <x:c r="H8" s="10" t="str">
        <x:v>Record deployed build. Use assigned test accounts, synthetic data and approved fixtures/recipients only.</x:v>
      </x:c>
      <x:c r="I8" s="10" t="str">
        <x:v>Capture affected entity counts and current shared settings using read-only queries; list owned fixtures and restoration steps.</x:v>
      </x:c>
      <x:c r="J8" s="10" t="str">
        <x:v>Before/after reconciliation is possible without deleting audit or financial records.</x:v>
      </x:c>
      <x:c r="K8" s="11" t="str"/>
      <x:c r="L8" s="11" t="str">
        <x:v>Not run</x:v>
      </x:c>
      <x:c r="M8" s="11" t="str"/>
      <x:c r="N8" s="11" t="str"/>
      <x:c r="O8" s="11" t="str"/>
      <x:c r="P8" s="11" t="str"/>
      <x:c r="Q8" s="11" t="str"/>
      <x:c r="R8" s="11" t="str"/>
      <x:c r="S8" s="10" t="str">
        <x:v>Browser + API + database</x:v>
      </x:c>
      <x:c r="T8" s="10" t="str">
        <x:v>Approved testing plan</x:v>
      </x:c>
      <x:c r="U8" s="10" t="str">
        <x:v>Reconcile tagged fixtures; archive/withdraw only owned test publications. Preserve audit/financial history.</x:v>
      </x:c>
      <x:c r="V8" s="12" t="str">
        <x:f>IF(A8="","",IF(L8="Not run","Pending",IF(OR(L8="Blocked",L8="Not deployed",L8="Not applicable"),IF(OR(K8="",R8=""),"Needs explanation","Recorded"),IF(OR(L8="Pass",L8="Fail"),IF(OR(K8="",M8="",P8=""),"Needs result/evidence/build","Recorded"),"Needs valid status"))))</x:f>
        <x:v>Pending</x:v>
      </x:c>
    </x:row>
    <x:row r="9" ht="38" customHeight="1">
      <x:c r="A9" s="10" t="str">
        <x:v>QA-0005</x:v>
      </x:c>
      <x:c r="B9" s="10" t="str">
        <x:v>A. Preparation and inventory</x:v>
      </x:c>
      <x:c r="C9" s="10" t="str">
        <x:v>Inventory reconciliation</x:v>
      </x:c>
      <x:c r="D9" s="10" t="str">
        <x:v>All routes / Start Here</x:v>
      </x:c>
      <x:c r="E9" s="10" t="str">
        <x:v>Technical tester</x:v>
      </x:c>
      <x:c r="F9" s="10" t="str">
        <x:v>P1</x:v>
      </x:c>
      <x:c r="G9" s="10" t="str">
        <x:v>Live - read-only</x:v>
      </x:c>
      <x:c r="H9" s="10" t="str">
        <x:v>Record deployed build. Use assigned test accounts, synthetic data and approved fixtures/recipients only.</x:v>
      </x:c>
      <x:c r="I9" s="10" t="str">
        <x:v>Compare Coverage Inventory to navigation and visible live tabs, controls and dialogs. Add missing rows and link tests.</x:v>
      </x:c>
      <x:c r="J9" s="10" t="str">
        <x:v>Every discovered surface has test IDs; implementation and live discrepancies remain explicit.</x:v>
      </x:c>
      <x:c r="K9" s="11" t="str"/>
      <x:c r="L9" s="11" t="str">
        <x:v>Not run</x:v>
      </x:c>
      <x:c r="M9" s="11" t="str"/>
      <x:c r="N9" s="11" t="str"/>
      <x:c r="O9" s="11" t="str"/>
      <x:c r="P9" s="11" t="str"/>
      <x:c r="Q9" s="11" t="str"/>
      <x:c r="R9" s="11" t="str"/>
      <x:c r="S9" s="10" t="str">
        <x:v>Browser + API + database</x:v>
      </x:c>
      <x:c r="T9" s="10" t="str">
        <x:v>Approved testing plan</x:v>
      </x:c>
      <x:c r="U9" s="10" t="str">
        <x:v>Reconcile tagged fixtures; archive/withdraw only owned test publications. Preserve audit/financial history.</x:v>
      </x:c>
      <x:c r="V9" s="12" t="str">
        <x:f>IF(A9="","",IF(L9="Not run","Pending",IF(OR(L9="Blocked",L9="Not deployed",L9="Not applicable"),IF(OR(K9="",R9=""),"Needs explanation","Recorded"),IF(OR(L9="Pass",L9="Fail"),IF(OR(K9="",M9="",P9=""),"Needs result/evidence/build","Recorded"),"Needs valid status"))))</x:f>
        <x:v>Pending</x:v>
      </x:c>
    </x:row>
    <x:row r="10" ht="38" customHeight="1">
      <x:c r="A10" s="10" t="str">
        <x:v>QA-0006</x:v>
      </x:c>
      <x:c r="B10" s="10" t="str">
        <x:v>A. Preparation and inventory</x:v>
      </x:c>
      <x:c r="C10" s="10" t="str">
        <x:v>Evidence hygiene</x:v>
      </x:c>
      <x:c r="D10" s="10" t="str">
        <x:v>All routes / Start Here</x:v>
      </x:c>
      <x:c r="E10" s="10" t="str">
        <x:v>Technical tester</x:v>
      </x:c>
      <x:c r="F10" s="10" t="str">
        <x:v>P1</x:v>
      </x:c>
      <x:c r="G10" s="10" t="str">
        <x:v>Live - read-only</x:v>
      </x:c>
      <x:c r="H10" s="10" t="str">
        <x:v>Record deployed build. Use assigned test accounts, synthetic data and approved fixtures/recipients only.</x:v>
      </x:c>
      <x:c r="I10" s="10" t="str">
        <x:v>Create run folders named by build/date/case ID; redact emails where necessary, tokens, headers and private documents.</x:v>
      </x:c>
      <x:c r="J10" s="10" t="str">
        <x:v>Shareable evidence links identify test, environment and build without exposing secrets.</x:v>
      </x:c>
      <x:c r="K10" s="11" t="str"/>
      <x:c r="L10" s="11" t="str">
        <x:v>Not run</x:v>
      </x:c>
      <x:c r="M10" s="11" t="str"/>
      <x:c r="N10" s="11" t="str"/>
      <x:c r="O10" s="11" t="str"/>
      <x:c r="P10" s="11" t="str"/>
      <x:c r="Q10" s="11" t="str"/>
      <x:c r="R10" s="11" t="str"/>
      <x:c r="S10" s="10" t="str">
        <x:v>Browser + API + database</x:v>
      </x:c>
      <x:c r="T10" s="10" t="str">
        <x:v>Approved testing plan</x:v>
      </x:c>
      <x:c r="U10" s="10" t="str">
        <x:v>Reconcile tagged fixtures; archive/withdraw only owned test publications. Preserve audit/financial history.</x:v>
      </x:c>
      <x:c r="V10" s="12" t="str">
        <x:f>IF(A10="","",IF(L10="Not run","Pending",IF(OR(L10="Blocked",L10="Not deployed",L10="Not applicable"),IF(OR(K10="",R10=""),"Needs explanation","Recorded"),IF(OR(L10="Pass",L10="Fail"),IF(OR(K10="",M10="",P10=""),"Needs result/evidence/build","Recorded"),"Needs valid status"))))</x:f>
        <x:v>Pending</x:v>
      </x:c>
    </x:row>
    <x:row r="11" ht="38" customHeight="1">
      <x:c r="A11" s="10" t="str">
        <x:v>QA-0007</x:v>
      </x:c>
      <x:c r="B11" s="10" t="str">
        <x:v>B. Public website</x:v>
      </x:c>
      <x:c r="C11" s="10" t="str">
        <x:v>Published page copy</x:v>
      </x:c>
      <x:c r="D11" s="10" t="str">
        <x:v>/ /about /governance /membership /events /resources /contact</x:v>
      </x:c>
      <x:c r="E11" s="10" t="str">
        <x:v>Anonymous</x:v>
      </x:c>
      <x:c r="F11" s="10" t="str">
        <x:v>P1</x:v>
      </x:c>
      <x:c r="G11" s="10" t="str">
        <x:v>Live - read-only</x:v>
      </x:c>
      <x:c r="H11" s="10" t="str">
        <x:v>Record deployed build. Use assigned test accounts, synthetic data and approved fixtures/recipients only.</x:v>
      </x:c>
      <x:c r="I11" s="10" t="str">
        <x:v>Open each public page and compare with saved published snapshots and approved content.</x:v>
      </x:c>
      <x:c r="J11" s="10" t="str">
        <x:v>Headings, sections, copy and listings match current publication, with no draft leakage.</x:v>
      </x:c>
      <x:c r="K11" s="11" t="str"/>
      <x:c r="L11" s="11" t="str">
        <x:v>Not run</x:v>
      </x:c>
      <x:c r="M11" s="11" t="str"/>
      <x:c r="N11" s="11" t="str"/>
      <x:c r="O11" s="11" t="str"/>
      <x:c r="P11" s="11" t="str"/>
      <x:c r="Q11" s="11" t="str"/>
      <x:c r="R11" s="11" t="str"/>
      <x:c r="S11" s="10" t="str">
        <x:v>Browser + API + database</x:v>
      </x:c>
      <x:c r="T11" s="10" t="str">
        <x:v>Approved testing plan</x:v>
      </x:c>
      <x:c r="U11" s="10" t="str">
        <x:v>Reconcile tagged fixtures; archive/withdraw only owned test publications. Preserve audit/financial history.</x:v>
      </x:c>
      <x:c r="V11" s="12" t="str">
        <x:f>IF(A11="","",IF(L11="Not run","Pending",IF(OR(L11="Blocked",L11="Not deployed",L11="Not applicable"),IF(OR(K11="",R11=""),"Needs explanation","Recorded"),IF(OR(L11="Pass",L11="Fail"),IF(OR(K11="",M11="",P11=""),"Needs result/evidence/build","Recorded"),"Needs valid status"))))</x:f>
        <x:v>Pending</x:v>
      </x:c>
    </x:row>
    <x:row r="12" ht="38" customHeight="1">
      <x:c r="A12" s="10" t="str">
        <x:v>QA-0008</x:v>
      </x:c>
      <x:c r="B12" s="10" t="str">
        <x:v>B. Public website</x:v>
      </x:c>
      <x:c r="C12" s="10" t="str">
        <x:v>Header navigation</x:v>
      </x:c>
      <x:c r="D12" s="10" t="str">
        <x:v>/ /about /governance /membership /events /resources /contact</x:v>
      </x:c>
      <x:c r="E12" s="10" t="str">
        <x:v>Anonymous</x:v>
      </x:c>
      <x:c r="F12" s="10" t="str">
        <x:v>P1</x:v>
      </x:c>
      <x:c r="G12" s="10" t="str">
        <x:v>Live - read-only</x:v>
      </x:c>
      <x:c r="H12" s="10" t="str">
        <x:v>Record deployed build. Use assigned test accounts, synthetic data and approved fixtures/recipients only.</x:v>
      </x:c>
      <x:c r="I12" s="10" t="str">
        <x:v>Open every top-level menu and submenu by mouse, touch and keyboard; follow each destination.</x:v>
      </x:c>
      <x:c r="J12" s="10" t="str">
        <x:v>Correct destinations and section anchors; visible active state and accessible menus.</x:v>
      </x:c>
      <x:c r="K12" s="11" t="str"/>
      <x:c r="L12" s="11" t="str">
        <x:v>Not run</x:v>
      </x:c>
      <x:c r="M12" s="11" t="str"/>
      <x:c r="N12" s="11" t="str"/>
      <x:c r="O12" s="11" t="str"/>
      <x:c r="P12" s="11" t="str"/>
      <x:c r="Q12" s="11" t="str"/>
      <x:c r="R12" s="11" t="str"/>
      <x:c r="S12" s="10" t="str">
        <x:v>Browser + API + database</x:v>
      </x:c>
      <x:c r="T12" s="10" t="str">
        <x:v>Approved testing plan</x:v>
      </x:c>
      <x:c r="U12" s="10" t="str">
        <x:v>Reconcile tagged fixtures; archive/withdraw only owned test publications. Preserve audit/financial history.</x:v>
      </x:c>
      <x:c r="V12" s="12" t="str">
        <x:f>IF(A12="","",IF(L12="Not run","Pending",IF(OR(L12="Blocked",L12="Not deployed",L12="Not applicable"),IF(OR(K12="",R12=""),"Needs explanation","Recorded"),IF(OR(L12="Pass",L12="Fail"),IF(OR(K12="",M12="",P12=""),"Needs result/evidence/build","Recorded"),"Needs valid status"))))</x:f>
        <x:v>Pending</x:v>
      </x:c>
    </x:row>
    <x:row r="13" ht="38" customHeight="1">
      <x:c r="A13" s="10" t="str">
        <x:v>QA-0009</x:v>
      </x:c>
      <x:c r="B13" s="10" t="str">
        <x:v>B. Public website</x:v>
      </x:c>
      <x:c r="C13" s="10" t="str">
        <x:v>Footer and contact links</x:v>
      </x:c>
      <x:c r="D13" s="10" t="str">
        <x:v>/ /about /governance /membership /events /resources /contact</x:v>
      </x:c>
      <x:c r="E13" s="10" t="str">
        <x:v>Anonymous</x:v>
      </x:c>
      <x:c r="F13" s="10" t="str">
        <x:v>P1</x:v>
      </x:c>
      <x:c r="G13" s="10" t="str">
        <x:v>Live - read-only</x:v>
      </x:c>
      <x:c r="H13" s="10" t="str">
        <x:v>Record deployed build. Use assigned test accounts, synthetic data and approved fixtures/recipients only.</x:v>
      </x:c>
      <x:c r="I13" s="10" t="str">
        <x:v>Follow footer, email, phone, external links and primary calls to action.</x:v>
      </x:c>
      <x:c r="J13" s="10" t="str">
        <x:v>Destinations and contact details are correct; external links behave safely.</x:v>
      </x:c>
      <x:c r="K13" s="11" t="str"/>
      <x:c r="L13" s="11" t="str">
        <x:v>Not run</x:v>
      </x:c>
      <x:c r="M13" s="11" t="str"/>
      <x:c r="N13" s="11" t="str"/>
      <x:c r="O13" s="11" t="str"/>
      <x:c r="P13" s="11" t="str"/>
      <x:c r="Q13" s="11" t="str"/>
      <x:c r="R13" s="11" t="str"/>
      <x:c r="S13" s="10" t="str">
        <x:v>Browser + API + database</x:v>
      </x:c>
      <x:c r="T13" s="10" t="str">
        <x:v>Approved testing plan</x:v>
      </x:c>
      <x:c r="U13" s="10" t="str">
        <x:v>Reconcile tagged fixtures; archive/withdraw only owned test publications. Preserve audit/financial history.</x:v>
      </x:c>
      <x:c r="V13" s="12" t="str">
        <x:f>IF(A13="","",IF(L13="Not run","Pending",IF(OR(L13="Blocked",L13="Not deployed",L13="Not applicable"),IF(OR(K13="",R13=""),"Needs explanation","Recorded"),IF(OR(L13="Pass",L13="Fail"),IF(OR(K13="",M13="",P13=""),"Needs result/evidence/build","Recorded"),"Needs valid status"))))</x:f>
        <x:v>Pending</x:v>
      </x:c>
    </x:row>
    <x:row r="14" ht="38" customHeight="1">
      <x:c r="A14" s="10" t="str">
        <x:v>QA-0010</x:v>
      </x:c>
      <x:c r="B14" s="10" t="str">
        <x:v>B. Public website</x:v>
      </x:c>
      <x:c r="C14" s="10" t="str">
        <x:v>Direct detail links</x:v>
      </x:c>
      <x:c r="D14" s="10" t="str">
        <x:v>/ /about /governance /membership /events /resources /contact</x:v>
      </x:c>
      <x:c r="E14" s="10" t="str">
        <x:v>Anonymous</x:v>
      </x:c>
      <x:c r="F14" s="10" t="str">
        <x:v>P1</x:v>
      </x:c>
      <x:c r="G14" s="10" t="str">
        <x:v>Live - read-only</x:v>
      </x:c>
      <x:c r="H14" s="10" t="str">
        <x:v>Record deployed build. Use assigned test accounts, synthetic data and approved fixtures/recipients only.</x:v>
      </x:c>
      <x:c r="I14" s="10" t="str">
        <x:v>Open published event, article, flyer, media and download links in an anonymous fresh window.</x:v>
      </x:c>
      <x:c r="J14" s="10" t="str">
        <x:v>Correct item and bytes display; no accidental dependency on prior navigation.</x:v>
      </x:c>
      <x:c r="K14" s="11" t="str"/>
      <x:c r="L14" s="11" t="str">
        <x:v>Not run</x:v>
      </x:c>
      <x:c r="M14" s="11" t="str"/>
      <x:c r="N14" s="11" t="str"/>
      <x:c r="O14" s="11" t="str"/>
      <x:c r="P14" s="11" t="str"/>
      <x:c r="Q14" s="11" t="str"/>
      <x:c r="R14" s="11" t="str"/>
      <x:c r="S14" s="10" t="str">
        <x:v>Browser + API + database</x:v>
      </x:c>
      <x:c r="T14" s="10" t="str">
        <x:v>Approved testing plan</x:v>
      </x:c>
      <x:c r="U14" s="10" t="str">
        <x:v>Reconcile tagged fixtures; archive/withdraw only owned test publications. Preserve audit/financial history.</x:v>
      </x:c>
      <x:c r="V14" s="12" t="str">
        <x:f>IF(A14="","",IF(L14="Not run","Pending",IF(OR(L14="Blocked",L14="Not deployed",L14="Not applicable"),IF(OR(K14="",R14=""),"Needs explanation","Recorded"),IF(OR(L14="Pass",L14="Fail"),IF(OR(K14="",M14="",P14=""),"Needs result/evidence/build","Recorded"),"Needs valid status"))))</x:f>
        <x:v>Pending</x:v>
      </x:c>
    </x:row>
    <x:row r="15" ht="38" customHeight="1">
      <x:c r="A15" s="10" t="str">
        <x:v>QA-0011</x:v>
      </x:c>
      <x:c r="B15" s="10" t="str">
        <x:v>B. Public website</x:v>
      </x:c>
      <x:c r="C15" s="10" t="str">
        <x:v>Draft privacy</x:v>
      </x:c>
      <x:c r="D15" s="10" t="str">
        <x:v>/ /about /governance /membership /events /resources /contact</x:v>
      </x:c>
      <x:c r="E15" s="10" t="str">
        <x:v>Anonymous</x:v>
      </x:c>
      <x:c r="F15" s="10" t="str">
        <x:v>P1</x:v>
      </x:c>
      <x:c r="G15" s="10" t="str">
        <x:v>Live - read-only</x:v>
      </x:c>
      <x:c r="H15" s="10" t="str">
        <x:v>Record deployed build. Use assigned test accounts, synthetic data and approved fixtures/recipients only.</x:v>
      </x:c>
      <x:c r="I15" s="10" t="str">
        <x:v>Try known QA draft and withdrawn item URLs without signing in.</x:v>
      </x:c>
      <x:c r="J15" s="10" t="str">
        <x:v>Unpublished items expose no private content and receive intended denial/fallback.</x:v>
      </x:c>
      <x:c r="K15" s="11" t="str"/>
      <x:c r="L15" s="11" t="str">
        <x:v>Not run</x:v>
      </x:c>
      <x:c r="M15" s="11" t="str"/>
      <x:c r="N15" s="11" t="str"/>
      <x:c r="O15" s="11" t="str"/>
      <x:c r="P15" s="11" t="str"/>
      <x:c r="Q15" s="11" t="str"/>
      <x:c r="R15" s="11" t="str"/>
      <x:c r="S15" s="10" t="str">
        <x:v>Browser + API + database</x:v>
      </x:c>
      <x:c r="T15" s="10" t="str">
        <x:v>Approved testing plan</x:v>
      </x:c>
      <x:c r="U15" s="10" t="str">
        <x:v>Reconcile tagged fixtures; archive/withdraw only owned test publications. Preserve audit/financial history.</x:v>
      </x:c>
      <x:c r="V15" s="12" t="str">
        <x:f>IF(A15="","",IF(L15="Not run","Pending",IF(OR(L15="Blocked",L15="Not deployed",L15="Not applicable"),IF(OR(K15="",R15=""),"Needs explanation","Recorded"),IF(OR(L15="Pass",L15="Fail"),IF(OR(K15="",M15="",P15=""),"Needs result/evidence/build","Recorded"),"Needs valid status"))))</x:f>
        <x:v>Pending</x:v>
      </x:c>
    </x:row>
    <x:row r="16" ht="38" customHeight="1">
      <x:c r="A16" s="10" t="str">
        <x:v>QA-0012</x:v>
      </x:c>
      <x:c r="B16" s="10" t="str">
        <x:v>B. Public website</x:v>
      </x:c>
      <x:c r="C16" s="10" t="str">
        <x:v>Restricted event privacy</x:v>
      </x:c>
      <x:c r="D16" s="10" t="str">
        <x:v>/ /about /governance /membership /events /resources /contact</x:v>
      </x:c>
      <x:c r="E16" s="10" t="str">
        <x:v>Anonymous</x:v>
      </x:c>
      <x:c r="F16" s="10" t="str">
        <x:v>P1</x:v>
      </x:c>
      <x:c r="G16" s="10" t="str">
        <x:v>Live - read-only</x:v>
      </x:c>
      <x:c r="H16" s="10" t="str">
        <x:v>Record deployed build. Use assigned test accounts, synthetic data and approved fixtures/recipients only.</x:v>
      </x:c>
      <x:c r="I16" s="10" t="str">
        <x:v>Open a member-only QA event/resource as anonymous and member B without entitlement.</x:v>
      </x:c>
      <x:c r="J16" s="10" t="str">
        <x:v>Access follows configured visibility; no private attendee or finance data leaks.</x:v>
      </x:c>
      <x:c r="K16" s="11" t="str"/>
      <x:c r="L16" s="11" t="str">
        <x:v>Not run</x:v>
      </x:c>
      <x:c r="M16" s="11" t="str"/>
      <x:c r="N16" s="11" t="str"/>
      <x:c r="O16" s="11" t="str"/>
      <x:c r="P16" s="11" t="str"/>
      <x:c r="Q16" s="11" t="str"/>
      <x:c r="R16" s="11" t="str"/>
      <x:c r="S16" s="10" t="str">
        <x:v>Browser + API + database</x:v>
      </x:c>
      <x:c r="T16" s="10" t="str">
        <x:v>Approved testing plan</x:v>
      </x:c>
      <x:c r="U16" s="10" t="str">
        <x:v>Reconcile tagged fixtures; archive/withdraw only owned test publications. Preserve audit/financial history.</x:v>
      </x:c>
      <x:c r="V16" s="12" t="str">
        <x:f>IF(A16="","",IF(L16="Not run","Pending",IF(OR(L16="Blocked",L16="Not deployed",L16="Not applicable"),IF(OR(K16="",R16=""),"Needs explanation","Recorded"),IF(OR(L16="Pass",L16="Fail"),IF(OR(K16="",M16="",P16=""),"Needs result/evidence/build","Recorded"),"Needs valid status"))))</x:f>
        <x:v>Pending</x:v>
      </x:c>
    </x:row>
    <x:row r="17" ht="38" customHeight="1">
      <x:c r="A17" s="10" t="str">
        <x:v>QA-0013</x:v>
      </x:c>
      <x:c r="B17" s="10" t="str">
        <x:v>B. Public website</x:v>
      </x:c>
      <x:c r="C17" s="10" t="str">
        <x:v>Missing item recovery</x:v>
      </x:c>
      <x:c r="D17" s="10" t="str">
        <x:v>/ /about /governance /membership /events /resources /contact</x:v>
      </x:c>
      <x:c r="E17" s="10" t="str">
        <x:v>Anonymous</x:v>
      </x:c>
      <x:c r="F17" s="10" t="str">
        <x:v>P1</x:v>
      </x:c>
      <x:c r="G17" s="10" t="str">
        <x:v>Live - read-only</x:v>
      </x:c>
      <x:c r="H17" s="10" t="str">
        <x:v>Record deployed build. Use assigned test accounts, synthetic data and approved fixtures/recipients only.</x:v>
      </x:c>
      <x:c r="I17" s="10" t="str">
        <x:v>Open nonexistent item IDs/slugs and an invalid page URL.</x:v>
      </x:c>
      <x:c r="J17" s="10" t="str">
        <x:v>Useful 404/unavailable state and working recovery navigation; no stack trace.</x:v>
      </x:c>
      <x:c r="K17" s="11" t="str"/>
      <x:c r="L17" s="11" t="str">
        <x:v>Not run</x:v>
      </x:c>
      <x:c r="M17" s="11" t="str"/>
      <x:c r="N17" s="11" t="str"/>
      <x:c r="O17" s="11" t="str"/>
      <x:c r="P17" s="11" t="str"/>
      <x:c r="Q17" s="11" t="str"/>
      <x:c r="R17" s="11" t="str"/>
      <x:c r="S17" s="10" t="str">
        <x:v>Browser + API + database</x:v>
      </x:c>
      <x:c r="T17" s="10" t="str">
        <x:v>Approved testing plan</x:v>
      </x:c>
      <x:c r="U17" s="10" t="str">
        <x:v>Reconcile tagged fixtures; archive/withdraw only owned test publications. Preserve audit/financial history.</x:v>
      </x:c>
      <x:c r="V17" s="12" t="str">
        <x:f>IF(A17="","",IF(L17="Not run","Pending",IF(OR(L17="Blocked",L17="Not deployed",L17="Not applicable"),IF(OR(K17="",R17=""),"Needs explanation","Recorded"),IF(OR(L17="Pass",L17="Fail"),IF(OR(K17="",M17="",P17=""),"Needs result/evidence/build","Recorded"),"Needs valid status"))))</x:f>
        <x:v>Pending</x:v>
      </x:c>
    </x:row>
    <x:row r="18" ht="38" customHeight="1">
      <x:c r="A18" s="10" t="str">
        <x:v>QA-0014</x:v>
      </x:c>
      <x:c r="B18" s="10" t="str">
        <x:v>B. Public website</x:v>
      </x:c>
      <x:c r="C18" s="10" t="str">
        <x:v>Empty listings</x:v>
      </x:c>
      <x:c r="D18" s="10" t="str">
        <x:v>/ /about /governance /membership /events /resources /contact</x:v>
      </x:c>
      <x:c r="E18" s="10" t="str">
        <x:v>Anonymous</x:v>
      </x:c>
      <x:c r="F18" s="10" t="str">
        <x:v>P1</x:v>
      </x:c>
      <x:c r="G18" s="10" t="str">
        <x:v>Live - read-only</x:v>
      </x:c>
      <x:c r="H18" s="10" t="str">
        <x:v>Record deployed build. Use assigned test accounts, synthetic data and approved fixtures/recipients only.</x:v>
      </x:c>
      <x:c r="I18" s="10" t="str">
        <x:v>Use isolated empty fixtures or existing empty sections without deleting live data.</x:v>
      </x:c>
      <x:c r="J18" s="10" t="str">
        <x:v>Meaningful empty state and appropriate next action, with no broken layout.</x:v>
      </x:c>
      <x:c r="K18" s="11" t="str"/>
      <x:c r="L18" s="11" t="str">
        <x:v>Not run</x:v>
      </x:c>
      <x:c r="M18" s="11" t="str"/>
      <x:c r="N18" s="11" t="str"/>
      <x:c r="O18" s="11" t="str"/>
      <x:c r="P18" s="11" t="str"/>
      <x:c r="Q18" s="11" t="str"/>
      <x:c r="R18" s="11" t="str"/>
      <x:c r="S18" s="10" t="str">
        <x:v>Browser + API + database</x:v>
      </x:c>
      <x:c r="T18" s="10" t="str">
        <x:v>Approved testing plan</x:v>
      </x:c>
      <x:c r="U18" s="10" t="str">
        <x:v>Reconcile tagged fixtures; archive/withdraw only owned test publications. Preserve audit/financial history.</x:v>
      </x:c>
      <x:c r="V18" s="12" t="str">
        <x:f>IF(A18="","",IF(L18="Not run","Pending",IF(OR(L18="Blocked",L18="Not deployed",L18="Not applicable"),IF(OR(K18="",R18=""),"Needs explanation","Recorded"),IF(OR(L18="Pass",L18="Fail"),IF(OR(K18="",M18="",P18=""),"Needs result/evidence/build","Recorded"),"Needs valid status"))))</x:f>
        <x:v>Pending</x:v>
      </x:c>
    </x:row>
    <x:row r="19" ht="38" customHeight="1">
      <x:c r="A19" s="10" t="str">
        <x:v>QA-0015</x:v>
      </x:c>
      <x:c r="B19" s="10" t="str">
        <x:v>B. Public website</x:v>
      </x:c>
      <x:c r="C19" s="10" t="str">
        <x:v>Metadata and indexing</x:v>
      </x:c>
      <x:c r="D19" s="10" t="str">
        <x:v>/ /about /governance /membership /events /resources /contact</x:v>
      </x:c>
      <x:c r="E19" s="10" t="str">
        <x:v>Anonymous</x:v>
      </x:c>
      <x:c r="F19" s="10" t="str">
        <x:v>P1</x:v>
      </x:c>
      <x:c r="G19" s="10" t="str">
        <x:v>Live - read-only</x:v>
      </x:c>
      <x:c r="H19" s="10" t="str">
        <x:v>Record deployed build. Use assigned test accounts, synthetic data and approved fixtures/recipients only.</x:v>
      </x:c>
      <x:c r="I19" s="10" t="str">
        <x:v>Inspect title, description, configured sharing metadata and robots for public/private routes.</x:v>
      </x:c>
      <x:c r="J19" s="10" t="str">
        <x:v>Published metadata is accurate; private routes are not offered for indexing.</x:v>
      </x:c>
      <x:c r="K19" s="11" t="str"/>
      <x:c r="L19" s="11" t="str">
        <x:v>Not run</x:v>
      </x:c>
      <x:c r="M19" s="11" t="str"/>
      <x:c r="N19" s="11" t="str"/>
      <x:c r="O19" s="11" t="str"/>
      <x:c r="P19" s="11" t="str"/>
      <x:c r="Q19" s="11" t="str"/>
      <x:c r="R19" s="11" t="str"/>
      <x:c r="S19" s="10" t="str">
        <x:v>Browser + API + database</x:v>
      </x:c>
      <x:c r="T19" s="10" t="str">
        <x:v>Approved testing plan</x:v>
      </x:c>
      <x:c r="U19" s="10" t="str">
        <x:v>Reconcile tagged fixtures; archive/withdraw only owned test publications. Preserve audit/financial history.</x:v>
      </x:c>
      <x:c r="V19" s="12" t="str">
        <x:f>IF(A19="","",IF(L19="Not run","Pending",IF(OR(L19="Blocked",L19="Not deployed",L19="Not applicable"),IF(OR(K19="",R19=""),"Needs explanation","Recorded"),IF(OR(L19="Pass",L19="Fail"),IF(OR(K19="",M19="",P19=""),"Needs result/evidence/build","Recorded"),"Needs valid status"))))</x:f>
        <x:v>Pending</x:v>
      </x:c>
    </x:row>
    <x:row r="20" ht="38" customHeight="1">
      <x:c r="A20" s="10" t="str">
        <x:v>QA-0016</x:v>
      </x:c>
      <x:c r="B20" s="10" t="str">
        <x:v>B. Public website</x:v>
      </x:c>
      <x:c r="C20" s="10" t="str">
        <x:v>Demo boundary</x:v>
      </x:c>
      <x:c r="D20" s="10" t="str">
        <x:v>/ /about /governance /membership /events /resources /contact</x:v>
      </x:c>
      <x:c r="E20" s="10" t="str">
        <x:v>Anonymous</x:v>
      </x:c>
      <x:c r="F20" s="10" t="str">
        <x:v>P1</x:v>
      </x:c>
      <x:c r="G20" s="10" t="str">
        <x:v>Live - read-only</x:v>
      </x:c>
      <x:c r="H20" s="10" t="str">
        <x:v>Record deployed build. Use assigned test accounts, synthetic data and approved fixtures/recipients only.</x:v>
      </x:c>
      <x:c r="I20" s="10" t="str">
        <x:v>Open /join and /preview/admin, including direct preview workspace links.</x:v>
      </x:c>
      <x:c r="J20" s="10" t="str">
        <x:v>Demonstrations are clearly labelled and cannot imply a real application/payment completion.</x:v>
      </x:c>
      <x:c r="K20" s="11" t="str"/>
      <x:c r="L20" s="11" t="str">
        <x:v>Not run</x:v>
      </x:c>
      <x:c r="M20" s="11" t="str"/>
      <x:c r="N20" s="11" t="str"/>
      <x:c r="O20" s="11" t="str"/>
      <x:c r="P20" s="11" t="str"/>
      <x:c r="Q20" s="11" t="str"/>
      <x:c r="R20" s="11" t="str"/>
      <x:c r="S20" s="10" t="str">
        <x:v>Browser + API + database</x:v>
      </x:c>
      <x:c r="T20" s="10" t="str">
        <x:v>Approved testing plan</x:v>
      </x:c>
      <x:c r="U20" s="10" t="str">
        <x:v>Reconcile tagged fixtures; archive/withdraw only owned test publications. Preserve audit/financial history.</x:v>
      </x:c>
      <x:c r="V20" s="12" t="str">
        <x:f>IF(A20="","",IF(L20="Not run","Pending",IF(OR(L20="Blocked",L20="Not deployed",L20="Not applicable"),IF(OR(K20="",R20=""),"Needs explanation","Recorded"),IF(OR(L20="Pass",L20="Fail"),IF(OR(K20="",M20="",P20=""),"Needs result/evidence/build","Recorded"),"Needs valid status"))))</x:f>
        <x:v>Pending</x:v>
      </x:c>
    </x:row>
    <x:row r="21" ht="38" customHeight="1">
      <x:c r="A21" s="10" t="str">
        <x:v>QA-0017</x:v>
      </x:c>
      <x:c r="B21" s="10" t="str">
        <x:v>C. Authentication</x:v>
      </x:c>
      <x:c r="C21" s="10" t="str">
        <x:v>Valid signup</x:v>
      </x:c>
      <x:c r="D21" s="10" t="str">
        <x:v>/signup /login /invitation /email-verification /forgot-password /reset-password</x:v>
      </x:c>
      <x:c r="E21" s="10" t="str">
        <x:v>Member A / anonymous</x:v>
      </x:c>
      <x:c r="F21" s="10" t="str">
        <x:v>P0</x:v>
      </x:c>
      <x:c r="G21" s="10" t="str">
        <x:v>Live - tagged fixture</x:v>
      </x:c>
      <x:c r="H21" s="10" t="str">
        <x:v>Record deployed build. Use assigned test accounts, synthetic data and approved fixtures/recipients only.</x:v>
      </x:c>
      <x:c r="I21" s="10" t="str">
        <x:v>Create one uniquely named QA account, then inspect account/profile/membership state.</x:v>
      </x:c>
      <x:c r="J21" s="10" t="str">
        <x:v>One account with ordinary access; no automatic staff role or membership approval.</x:v>
      </x:c>
      <x:c r="K21" s="11" t="str"/>
      <x:c r="L21" s="11" t="str">
        <x:v>Not run</x:v>
      </x:c>
      <x:c r="M21" s="11" t="str"/>
      <x:c r="N21" s="11" t="str"/>
      <x:c r="O21" s="11" t="str"/>
      <x:c r="P21" s="11" t="str"/>
      <x:c r="Q21" s="11" t="str"/>
      <x:c r="R21" s="11" t="str"/>
      <x:c r="S21" s="10" t="str">
        <x:v>Browser + API + database</x:v>
      </x:c>
      <x:c r="T21" s="10" t="str">
        <x:v>Approved testing plan</x:v>
      </x:c>
      <x:c r="U21" s="10" t="str">
        <x:v>Reconcile tagged fixtures; archive/withdraw only owned test publications. Preserve audit/financial history.</x:v>
      </x:c>
      <x:c r="V21" s="12" t="str">
        <x:f>IF(A21="","",IF(L21="Not run","Pending",IF(OR(L21="Blocked",L21="Not deployed",L21="Not applicable"),IF(OR(K21="",R21=""),"Needs explanation","Recorded"),IF(OR(L21="Pass",L21="Fail"),IF(OR(K21="",M21="",P21=""),"Needs result/evidence/build","Recorded"),"Needs valid status"))))</x:f>
        <x:v>Pending</x:v>
      </x:c>
    </x:row>
    <x:row r="22" ht="38" customHeight="1">
      <x:c r="A22" s="10" t="str">
        <x:v>QA-0018</x:v>
      </x:c>
      <x:c r="B22" s="10" t="str">
        <x:v>C. Authentication</x:v>
      </x:c>
      <x:c r="C22" s="10" t="str">
        <x:v>Required signup fields</x:v>
      </x:c>
      <x:c r="D22" s="10" t="str">
        <x:v>/signup /login /invitation /email-verification /forgot-password /reset-password</x:v>
      </x:c>
      <x:c r="E22" s="10" t="str">
        <x:v>Member A / anonymous</x:v>
      </x:c>
      <x:c r="F22" s="10" t="str">
        <x:v>P0</x:v>
      </x:c>
      <x:c r="G22" s="10" t="str">
        <x:v>Live - tagged fixture</x:v>
      </x:c>
      <x:c r="H22" s="10" t="str">
        <x:v>Record deployed build. Use assigned test accounts, synthetic data and approved fixtures/recipients only.</x:v>
      </x:c>
      <x:c r="I22" s="10" t="str">
        <x:v>Submit with each required field missing, one at a time.</x:v>
      </x:c>
      <x:c r="J22" s="10" t="str">
        <x:v>Field-level guidance and no incomplete account creation.</x:v>
      </x:c>
      <x:c r="K22" s="11" t="str"/>
      <x:c r="L22" s="11" t="str">
        <x:v>Not run</x:v>
      </x:c>
      <x:c r="M22" s="11" t="str"/>
      <x:c r="N22" s="11" t="str"/>
      <x:c r="O22" s="11" t="str"/>
      <x:c r="P22" s="11" t="str"/>
      <x:c r="Q22" s="11" t="str"/>
      <x:c r="R22" s="11" t="str"/>
      <x:c r="S22" s="10" t="str">
        <x:v>Browser + API + database</x:v>
      </x:c>
      <x:c r="T22" s="10" t="str">
        <x:v>Approved testing plan</x:v>
      </x:c>
      <x:c r="U22" s="10" t="str">
        <x:v>Reconcile tagged fixtures; archive/withdraw only owned test publications. Preserve audit/financial history.</x:v>
      </x:c>
      <x:c r="V22" s="12" t="str">
        <x:f>IF(A22="","",IF(L22="Not run","Pending",IF(OR(L22="Blocked",L22="Not deployed",L22="Not applicable"),IF(OR(K22="",R22=""),"Needs explanation","Recorded"),IF(OR(L22="Pass",L22="Fail"),IF(OR(K22="",M22="",P22=""),"Needs result/evidence/build","Recorded"),"Needs valid status"))))</x:f>
        <x:v>Pending</x:v>
      </x:c>
    </x:row>
    <x:row r="23" ht="38" customHeight="1">
      <x:c r="A23" s="10" t="str">
        <x:v>QA-0019</x:v>
      </x:c>
      <x:c r="B23" s="10" t="str">
        <x:v>C. Authentication</x:v>
      </x:c>
      <x:c r="C23" s="10" t="str">
        <x:v>Invalid signup email</x:v>
      </x:c>
      <x:c r="D23" s="10" t="str">
        <x:v>/signup /login /invitation /email-verification /forgot-password /reset-password</x:v>
      </x:c>
      <x:c r="E23" s="10" t="str">
        <x:v>Member A / anonymous</x:v>
      </x:c>
      <x:c r="F23" s="10" t="str">
        <x:v>P0</x:v>
      </x:c>
      <x:c r="G23" s="10" t="str">
        <x:v>Live - tagged fixture</x:v>
      </x:c>
      <x:c r="H23" s="10" t="str">
        <x:v>Record deployed build. Use assigned test accounts, synthetic data and approved fixtures/recipients only.</x:v>
      </x:c>
      <x:c r="I23" s="10" t="str">
        <x:v>Submit malformed email variants and leading/trailing whitespace.</x:v>
      </x:c>
      <x:c r="J23" s="10" t="str">
        <x:v>Validation/normalization follows contract; no unintended identity created.</x:v>
      </x:c>
      <x:c r="K23" s="11" t="str"/>
      <x:c r="L23" s="11" t="str">
        <x:v>Not run</x:v>
      </x:c>
      <x:c r="M23" s="11" t="str"/>
      <x:c r="N23" s="11" t="str"/>
      <x:c r="O23" s="11" t="str"/>
      <x:c r="P23" s="11" t="str"/>
      <x:c r="Q23" s="11" t="str"/>
      <x:c r="R23" s="11" t="str"/>
      <x:c r="S23" s="10" t="str">
        <x:v>Browser + API + database</x:v>
      </x:c>
      <x:c r="T23" s="10" t="str">
        <x:v>Approved testing plan</x:v>
      </x:c>
      <x:c r="U23" s="10" t="str">
        <x:v>Reconcile tagged fixtures; archive/withdraw only owned test publications. Preserve audit/financial history.</x:v>
      </x:c>
      <x:c r="V23" s="12" t="str">
        <x:f>IF(A23="","",IF(L23="Not run","Pending",IF(OR(L23="Blocked",L23="Not deployed",L23="Not applicable"),IF(OR(K23="",R23=""),"Needs explanation","Recorded"),IF(OR(L23="Pass",L23="Fail"),IF(OR(K23="",M23="",P23=""),"Needs result/evidence/build","Recorded"),"Needs valid status"))))</x:f>
        <x:v>Pending</x:v>
      </x:c>
    </x:row>
    <x:row r="24" ht="38" customHeight="1">
      <x:c r="A24" s="10" t="str">
        <x:v>QA-0020</x:v>
      </x:c>
      <x:c r="B24" s="10" t="str">
        <x:v>C. Authentication</x:v>
      </x:c>
      <x:c r="C24" s="10" t="str">
        <x:v>Password boundaries</x:v>
      </x:c>
      <x:c r="D24" s="10" t="str">
        <x:v>/signup /login /invitation /email-verification /forgot-password /reset-password</x:v>
      </x:c>
      <x:c r="E24" s="10" t="str">
        <x:v>Member A / anonymous</x:v>
      </x:c>
      <x:c r="F24" s="10" t="str">
        <x:v>P0</x:v>
      </x:c>
      <x:c r="G24" s="10" t="str">
        <x:v>Live - tagged fixture</x:v>
      </x:c>
      <x:c r="H24" s="10" t="str">
        <x:v>Record deployed build. Use assigned test accounts, synthetic data and approved fixtures/recipients only.</x:v>
      </x:c>
      <x:c r="I24" s="10" t="str">
        <x:v>Try below-minimum, boundary-valid and invalid-policy passwords using test accounts.</x:v>
      </x:c>
      <x:c r="J24" s="10" t="str">
        <x:v>Server and UI enforce the same policy; errors retain safe input.</x:v>
      </x:c>
      <x:c r="K24" s="11" t="str"/>
      <x:c r="L24" s="11" t="str">
        <x:v>Not run</x:v>
      </x:c>
      <x:c r="M24" s="11" t="str"/>
      <x:c r="N24" s="11" t="str"/>
      <x:c r="O24" s="11" t="str"/>
      <x:c r="P24" s="11" t="str"/>
      <x:c r="Q24" s="11" t="str"/>
      <x:c r="R24" s="11" t="str"/>
      <x:c r="S24" s="10" t="str">
        <x:v>Browser + API + database</x:v>
      </x:c>
      <x:c r="T24" s="10" t="str">
        <x:v>Approved testing plan</x:v>
      </x:c>
      <x:c r="U24" s="10" t="str">
        <x:v>Reconcile tagged fixtures; archive/withdraw only owned test publications. Preserve audit/financial history.</x:v>
      </x:c>
      <x:c r="V24" s="12" t="str">
        <x:f>IF(A24="","",IF(L24="Not run","Pending",IF(OR(L24="Blocked",L24="Not deployed",L24="Not applicable"),IF(OR(K24="",R24=""),"Needs explanation","Recorded"),IF(OR(L24="Pass",L24="Fail"),IF(OR(K24="",M24="",P24=""),"Needs result/evidence/build","Recorded"),"Needs valid status"))))</x:f>
        <x:v>Pending</x:v>
      </x:c>
    </x:row>
    <x:row r="25" ht="38" customHeight="1">
      <x:c r="A25" s="10" t="str">
        <x:v>QA-0021</x:v>
      </x:c>
      <x:c r="B25" s="10" t="str">
        <x:v>C. Authentication</x:v>
      </x:c>
      <x:c r="C25" s="10" t="str">
        <x:v>Duplicate signup</x:v>
      </x:c>
      <x:c r="D25" s="10" t="str">
        <x:v>/signup /login /invitation /email-verification /forgot-password /reset-password</x:v>
      </x:c>
      <x:c r="E25" s="10" t="str">
        <x:v>Member A / anonymous</x:v>
      </x:c>
      <x:c r="F25" s="10" t="str">
        <x:v>P0</x:v>
      </x:c>
      <x:c r="G25" s="10" t="str">
        <x:v>Live - tagged fixture</x:v>
      </x:c>
      <x:c r="H25" s="10" t="str">
        <x:v>Record deployed build. Use assigned test accounts, synthetic data and approved fixtures/recipients only.</x:v>
      </x:c>
      <x:c r="I25" s="10" t="str">
        <x:v>Repeat signup for a QA email with case/whitespace variants.</x:v>
      </x:c>
      <x:c r="J25" s="10" t="str">
        <x:v>Existing identity is protected; no duplicate identity or credential replacement.</x:v>
      </x:c>
      <x:c r="K25" s="11" t="str"/>
      <x:c r="L25" s="11" t="str">
        <x:v>Not run</x:v>
      </x:c>
      <x:c r="M25" s="11" t="str"/>
      <x:c r="N25" s="11" t="str"/>
      <x:c r="O25" s="11" t="str"/>
      <x:c r="P25" s="11" t="str"/>
      <x:c r="Q25" s="11" t="str"/>
      <x:c r="R25" s="11" t="str"/>
      <x:c r="S25" s="10" t="str">
        <x:v>Browser + API + database</x:v>
      </x:c>
      <x:c r="T25" s="10" t="str">
        <x:v>Approved testing plan</x:v>
      </x:c>
      <x:c r="U25" s="10" t="str">
        <x:v>Reconcile tagged fixtures; archive/withdraw only owned test publications. Preserve audit/financial history.</x:v>
      </x:c>
      <x:c r="V25" s="12" t="str">
        <x:f>IF(A25="","",IF(L25="Not run","Pending",IF(OR(L25="Blocked",L25="Not deployed",L25="Not applicable"),IF(OR(K25="",R25=""),"Needs explanation","Recorded"),IF(OR(L25="Pass",L25="Fail"),IF(OR(K25="",M25="",P25=""),"Needs result/evidence/build","Recorded"),"Needs valid status"))))</x:f>
        <x:v>Pending</x:v>
      </x:c>
    </x:row>
    <x:row r="26" ht="38" customHeight="1">
      <x:c r="A26" s="10" t="str">
        <x:v>QA-0022</x:v>
      </x:c>
      <x:c r="B26" s="10" t="str">
        <x:v>C. Authentication</x:v>
      </x:c>
      <x:c r="C26" s="10" t="str">
        <x:v>Verification receipt</x:v>
      </x:c>
      <x:c r="D26" s="10" t="str">
        <x:v>/signup /login /invitation /email-verification /forgot-password /reset-password</x:v>
      </x:c>
      <x:c r="E26" s="10" t="str">
        <x:v>Member A / anonymous</x:v>
      </x:c>
      <x:c r="F26" s="10" t="str">
        <x:v>P0</x:v>
      </x:c>
      <x:c r="G26" s="10" t="str">
        <x:v>Live - tagged fixture</x:v>
      </x:c>
      <x:c r="H26" s="10" t="str">
        <x:v>Record deployed build. Use assigned test accounts, synthetic data and approved fixtures/recipients only.</x:v>
      </x:c>
      <x:c r="I26" s="10" t="str">
        <x:v>Trigger verification once and open actual approved inbox, including junk folder.</x:v>
      </x:c>
      <x:c r="J26" s="10" t="str">
        <x:v>Message arrives for intended account; record queue/provider/inbox outcomes separately.</x:v>
      </x:c>
      <x:c r="K26" s="11" t="str"/>
      <x:c r="L26" s="11" t="str">
        <x:v>Not run</x:v>
      </x:c>
      <x:c r="M26" s="11" t="str"/>
      <x:c r="N26" s="11" t="str"/>
      <x:c r="O26" s="11" t="str"/>
      <x:c r="P26" s="11" t="str"/>
      <x:c r="Q26" s="11" t="str"/>
      <x:c r="R26" s="11" t="str"/>
      <x:c r="S26" s="10" t="str">
        <x:v>Browser + API + database</x:v>
      </x:c>
      <x:c r="T26" s="10" t="str">
        <x:v>Approved testing plan</x:v>
      </x:c>
      <x:c r="U26" s="10" t="str">
        <x:v>Reconcile tagged fixtures; archive/withdraw only owned test publications. Preserve audit/financial history.</x:v>
      </x:c>
      <x:c r="V26" s="12" t="str">
        <x:f>IF(A26="","",IF(L26="Not run","Pending",IF(OR(L26="Blocked",L26="Not deployed",L26="Not applicable"),IF(OR(K26="",R26=""),"Needs explanation","Recorded"),IF(OR(L26="Pass",L26="Fail"),IF(OR(K26="",M26="",P26=""),"Needs result/evidence/build","Recorded"),"Needs valid status"))))</x:f>
        <x:v>Pending</x:v>
      </x:c>
    </x:row>
    <x:row r="27" ht="38" customHeight="1">
      <x:c r="A27" s="10" t="str">
        <x:v>QA-0023</x:v>
      </x:c>
      <x:c r="B27" s="10" t="str">
        <x:v>C. Authentication</x:v>
      </x:c>
      <x:c r="C27" s="10" t="str">
        <x:v>Verification completion</x:v>
      </x:c>
      <x:c r="D27" s="10" t="str">
        <x:v>/signup /login /invitation /email-verification /forgot-password /reset-password</x:v>
      </x:c>
      <x:c r="E27" s="10" t="str">
        <x:v>Member A / anonymous</x:v>
      </x:c>
      <x:c r="F27" s="10" t="str">
        <x:v>P0</x:v>
      </x:c>
      <x:c r="G27" s="10" t="str">
        <x:v>Live - tagged fixture</x:v>
      </x:c>
      <x:c r="H27" s="10" t="str">
        <x:v>Record deployed build. Use assigned test accounts, synthetic data and approved fixtures/recipients only.</x:v>
      </x:c>
      <x:c r="I27" s="10" t="str">
        <x:v>Open the exact verification link and sign in as its recipient.</x:v>
      </x:c>
      <x:c r="J27" s="10" t="str">
        <x:v>Email becomes verified once; profile/membership/publication states remain independent.</x:v>
      </x:c>
      <x:c r="K27" s="11" t="str"/>
      <x:c r="L27" s="11" t="str">
        <x:v>Not run</x:v>
      </x:c>
      <x:c r="M27" s="11" t="str"/>
      <x:c r="N27" s="11" t="str"/>
      <x:c r="O27" s="11" t="str"/>
      <x:c r="P27" s="11" t="str"/>
      <x:c r="Q27" s="11" t="str"/>
      <x:c r="R27" s="11" t="str"/>
      <x:c r="S27" s="10" t="str">
        <x:v>Browser + API + database</x:v>
      </x:c>
      <x:c r="T27" s="10" t="str">
        <x:v>Approved testing plan</x:v>
      </x:c>
      <x:c r="U27" s="10" t="str">
        <x:v>Reconcile tagged fixtures; archive/withdraw only owned test publications. Preserve audit/financial history.</x:v>
      </x:c>
      <x:c r="V27" s="12" t="str">
        <x:f>IF(A27="","",IF(L27="Not run","Pending",IF(OR(L27="Blocked",L27="Not deployed",L27="Not applicable"),IF(OR(K27="",R27=""),"Needs explanation","Recorded"),IF(OR(L27="Pass",L27="Fail"),IF(OR(K27="",M27="",P27=""),"Needs result/evidence/build","Recorded"),"Needs valid status"))))</x:f>
        <x:v>Pending</x:v>
      </x:c>
    </x:row>
    <x:row r="28" ht="38" customHeight="1">
      <x:c r="A28" s="10" t="str">
        <x:v>QA-0024</x:v>
      </x:c>
      <x:c r="B28" s="10" t="str">
        <x:v>C. Authentication</x:v>
      </x:c>
      <x:c r="C28" s="10" t="str">
        <x:v>Verification resend</x:v>
      </x:c>
      <x:c r="D28" s="10" t="str">
        <x:v>/signup /login /invitation /email-verification /forgot-password /reset-password</x:v>
      </x:c>
      <x:c r="E28" s="10" t="str">
        <x:v>Member A / anonymous</x:v>
      </x:c>
      <x:c r="F28" s="10" t="str">
        <x:v>P0</x:v>
      </x:c>
      <x:c r="G28" s="10" t="str">
        <x:v>Live - tagged fixture</x:v>
      </x:c>
      <x:c r="H28" s="10" t="str">
        <x:v>Record deployed build. Use assigned test accounts, synthetic data and approved fixtures/recipients only.</x:v>
      </x:c>
      <x:c r="I28" s="10" t="str">
        <x:v>Resend for the QA account and inspect UI, jobs and received mail.</x:v>
      </x:c>
      <x:c r="J28" s="10" t="str">
        <x:v>Correct recipient, bounded resend behavior and no unintended repeated sends.</x:v>
      </x:c>
      <x:c r="K28" s="11" t="str"/>
      <x:c r="L28" s="11" t="str">
        <x:v>Not run</x:v>
      </x:c>
      <x:c r="M28" s="11" t="str"/>
      <x:c r="N28" s="11" t="str"/>
      <x:c r="O28" s="11" t="str"/>
      <x:c r="P28" s="11" t="str"/>
      <x:c r="Q28" s="11" t="str"/>
      <x:c r="R28" s="11" t="str"/>
      <x:c r="S28" s="10" t="str">
        <x:v>Browser + API + database</x:v>
      </x:c>
      <x:c r="T28" s="10" t="str">
        <x:v>Approved testing plan</x:v>
      </x:c>
      <x:c r="U28" s="10" t="str">
        <x:v>Reconcile tagged fixtures; archive/withdraw only owned test publications. Preserve audit/financial history.</x:v>
      </x:c>
      <x:c r="V28" s="12" t="str">
        <x:f>IF(A28="","",IF(L28="Not run","Pending",IF(OR(L28="Blocked",L28="Not deployed",L28="Not applicable"),IF(OR(K28="",R28=""),"Needs explanation","Recorded"),IF(OR(L28="Pass",L28="Fail"),IF(OR(K28="",M28="",P28=""),"Needs result/evidence/build","Recorded"),"Needs valid status"))))</x:f>
        <x:v>Pending</x:v>
      </x:c>
    </x:row>
    <x:row r="29" ht="38" customHeight="1">
      <x:c r="A29" s="10" t="str">
        <x:v>QA-0025</x:v>
      </x:c>
      <x:c r="B29" s="10" t="str">
        <x:v>C. Authentication</x:v>
      </x:c>
      <x:c r="C29" s="10" t="str">
        <x:v>Expired verification link</x:v>
      </x:c>
      <x:c r="D29" s="10" t="str">
        <x:v>/signup /login /invitation /email-verification /forgot-password /reset-password</x:v>
      </x:c>
      <x:c r="E29" s="10" t="str">
        <x:v>Member A / anonymous</x:v>
      </x:c>
      <x:c r="F29" s="10" t="str">
        <x:v>P0</x:v>
      </x:c>
      <x:c r="G29" s="10" t="str">
        <x:v>Isolated only</x:v>
      </x:c>
      <x:c r="H29" s="10" t="str">
        <x:v>Record deployed build. Use assigned test accounts, synthetic data and approved fixtures/recipients only.</x:v>
      </x:c>
      <x:c r="I29" s="10" t="str">
        <x:v>Create an expired token fixture and open its link.</x:v>
      </x:c>
      <x:c r="J29" s="10" t="str">
        <x:v>Clear expiration and safe resend path; account stays unverified.</x:v>
      </x:c>
      <x:c r="K29" s="11" t="str"/>
      <x:c r="L29" s="11" t="str">
        <x:v>Not run</x:v>
      </x:c>
      <x:c r="M29" s="11" t="str"/>
      <x:c r="N29" s="11" t="str"/>
      <x:c r="O29" s="11" t="str"/>
      <x:c r="P29" s="11" t="str"/>
      <x:c r="Q29" s="11" t="str"/>
      <x:c r="R29" s="11" t="str"/>
      <x:c r="S29" s="10" t="str">
        <x:v>Browser + API + database</x:v>
      </x:c>
      <x:c r="T29" s="10" t="str">
        <x:v>Approved testing plan</x:v>
      </x:c>
      <x:c r="U29" s="10" t="str">
        <x:v>Reconcile tagged fixtures; archive/withdraw only owned test publications. Preserve audit/financial history.</x:v>
      </x:c>
      <x:c r="V29" s="12" t="str">
        <x:f>IF(A29="","",IF(L29="Not run","Pending",IF(OR(L29="Blocked",L29="Not deployed",L29="Not applicable"),IF(OR(K29="",R29=""),"Needs explanation","Recorded"),IF(OR(L29="Pass",L29="Fail"),IF(OR(K29="",M29="",P29=""),"Needs result/evidence/build","Recorded"),"Needs valid status"))))</x:f>
        <x:v>Pending</x:v>
      </x:c>
    </x:row>
    <x:row r="30" ht="38" customHeight="1">
      <x:c r="A30" s="10" t="str">
        <x:v>QA-0026</x:v>
      </x:c>
      <x:c r="B30" s="10" t="str">
        <x:v>C. Authentication</x:v>
      </x:c>
      <x:c r="C30" s="10" t="str">
        <x:v>Reused verification link</x:v>
      </x:c>
      <x:c r="D30" s="10" t="str">
        <x:v>/signup /login /invitation /email-verification /forgot-password /reset-password</x:v>
      </x:c>
      <x:c r="E30" s="10" t="str">
        <x:v>Member A / anonymous</x:v>
      </x:c>
      <x:c r="F30" s="10" t="str">
        <x:v>P0</x:v>
      </x:c>
      <x:c r="G30" s="10" t="str">
        <x:v>Live - tagged fixture</x:v>
      </x:c>
      <x:c r="H30" s="10" t="str">
        <x:v>Record deployed build. Use assigned test accounts, synthetic data and approved fixtures/recipients only.</x:v>
      </x:c>
      <x:c r="I30" s="10" t="str">
        <x:v>Open the already-consumed QA link again.</x:v>
      </x:c>
      <x:c r="J30" s="10" t="str">
        <x:v>No unintended account change or token reuse; outcome matches link contract.</x:v>
      </x:c>
      <x:c r="K30" s="11" t="str"/>
      <x:c r="L30" s="11" t="str">
        <x:v>Not run</x:v>
      </x:c>
      <x:c r="M30" s="11" t="str"/>
      <x:c r="N30" s="11" t="str"/>
      <x:c r="O30" s="11" t="str"/>
      <x:c r="P30" s="11" t="str"/>
      <x:c r="Q30" s="11" t="str"/>
      <x:c r="R30" s="11" t="str"/>
      <x:c r="S30" s="10" t="str">
        <x:v>Browser + API + database</x:v>
      </x:c>
      <x:c r="T30" s="10" t="str">
        <x:v>Approved testing plan</x:v>
      </x:c>
      <x:c r="U30" s="10" t="str">
        <x:v>Reconcile tagged fixtures; archive/withdraw only owned test publications. Preserve audit/financial history.</x:v>
      </x:c>
      <x:c r="V30" s="12" t="str">
        <x:f>IF(A30="","",IF(L30="Not run","Pending",IF(OR(L30="Blocked",L30="Not deployed",L30="Not applicable"),IF(OR(K30="",R30=""),"Needs explanation","Recorded"),IF(OR(L30="Pass",L30="Fail"),IF(OR(K30="",M30="",P30=""),"Needs result/evidence/build","Recorded"),"Needs valid status"))))</x:f>
        <x:v>Pending</x:v>
      </x:c>
    </x:row>
    <x:row r="31" ht="38" customHeight="1">
      <x:c r="A31" s="10" t="str">
        <x:v>QA-0027</x:v>
      </x:c>
      <x:c r="B31" s="10" t="str">
        <x:v>C. Authentication</x:v>
      </x:c>
      <x:c r="C31" s="10" t="str">
        <x:v>Malformed verification link</x:v>
      </x:c>
      <x:c r="D31" s="10" t="str">
        <x:v>/signup /login /invitation /email-verification /forgot-password /reset-password</x:v>
      </x:c>
      <x:c r="E31" s="10" t="str">
        <x:v>Member A / anonymous</x:v>
      </x:c>
      <x:c r="F31" s="10" t="str">
        <x:v>P0</x:v>
      </x:c>
      <x:c r="G31" s="10" t="str">
        <x:v>Live - tagged fixture</x:v>
      </x:c>
      <x:c r="H31" s="10" t="str">
        <x:v>Record deployed build. Use assigned test accounts, synthetic data and approved fixtures/recipients only.</x:v>
      </x:c>
      <x:c r="I31" s="10" t="str">
        <x:v>Open missing/invalid token variants without brute force.</x:v>
      </x:c>
      <x:c r="J31" s="10" t="str">
        <x:v>Safe error; no sensitive token/account detail exposed.</x:v>
      </x:c>
      <x:c r="K31" s="11" t="str"/>
      <x:c r="L31" s="11" t="str">
        <x:v>Not run</x:v>
      </x:c>
      <x:c r="M31" s="11" t="str"/>
      <x:c r="N31" s="11" t="str"/>
      <x:c r="O31" s="11" t="str"/>
      <x:c r="P31" s="11" t="str"/>
      <x:c r="Q31" s="11" t="str"/>
      <x:c r="R31" s="11" t="str"/>
      <x:c r="S31" s="10" t="str">
        <x:v>Browser + API + database</x:v>
      </x:c>
      <x:c r="T31" s="10" t="str">
        <x:v>Approved testing plan</x:v>
      </x:c>
      <x:c r="U31" s="10" t="str">
        <x:v>Reconcile tagged fixtures; archive/withdraw only owned test publications. Preserve audit/financial history.</x:v>
      </x:c>
      <x:c r="V31" s="12" t="str">
        <x:f>IF(A31="","",IF(L31="Not run","Pending",IF(OR(L31="Blocked",L31="Not deployed",L31="Not applicable"),IF(OR(K31="",R31=""),"Needs explanation","Recorded"),IF(OR(L31="Pass",L31="Fail"),IF(OR(K31="",M31="",P31=""),"Needs result/evidence/build","Recorded"),"Needs valid status"))))</x:f>
        <x:v>Pending</x:v>
      </x:c>
    </x:row>
    <x:row r="32" ht="38" customHeight="1">
      <x:c r="A32" s="10" t="str">
        <x:v>QA-0028</x:v>
      </x:c>
      <x:c r="B32" s="10" t="str">
        <x:v>C. Authentication</x:v>
      </x:c>
      <x:c r="C32" s="10" t="str">
        <x:v>Invitation activation</x:v>
      </x:c>
      <x:c r="D32" s="10" t="str">
        <x:v>/signup /login /invitation /email-verification /forgot-password /reset-password</x:v>
      </x:c>
      <x:c r="E32" s="10" t="str">
        <x:v>Member A / anonymous</x:v>
      </x:c>
      <x:c r="F32" s="10" t="str">
        <x:v>P0</x:v>
      </x:c>
      <x:c r="G32" s="10" t="str">
        <x:v>Live - tagged fixture</x:v>
      </x:c>
      <x:c r="H32" s="10" t="str">
        <x:v>Record deployed build. Use assigned test accounts, synthetic data and approved fixtures/recipients only.</x:v>
      </x:c>
      <x:c r="I32" s="10" t="str">
        <x:v>Use one approved held QA invitation, set a valid password and perform a fresh login.</x:v>
      </x:c>
      <x:c r="J32" s="10" t="str">
        <x:v>Invited identity is activated once; related records are preserved.</x:v>
      </x:c>
      <x:c r="K32" s="11" t="str"/>
      <x:c r="L32" s="11" t="str">
        <x:v>Not run</x:v>
      </x:c>
      <x:c r="M32" s="11" t="str"/>
      <x:c r="N32" s="11" t="str"/>
      <x:c r="O32" s="11" t="str"/>
      <x:c r="P32" s="11" t="str"/>
      <x:c r="Q32" s="11" t="str"/>
      <x:c r="R32" s="11" t="str"/>
      <x:c r="S32" s="10" t="str">
        <x:v>Browser + API + database</x:v>
      </x:c>
      <x:c r="T32" s="10" t="str">
        <x:v>Approved testing plan</x:v>
      </x:c>
      <x:c r="U32" s="10" t="str">
        <x:v>Reconcile tagged fixtures; archive/withdraw only owned test publications. Preserve audit/financial history.</x:v>
      </x:c>
      <x:c r="V32" s="12" t="str">
        <x:f>IF(A32="","",IF(L32="Not run","Pending",IF(OR(L32="Blocked",L32="Not deployed",L32="Not applicable"),IF(OR(K32="",R32=""),"Needs explanation","Recorded"),IF(OR(L32="Pass",L32="Fail"),IF(OR(K32="",M32="",P32=""),"Needs result/evidence/build","Recorded"),"Needs valid status"))))</x:f>
        <x:v>Pending</x:v>
      </x:c>
    </x:row>
    <x:row r="33" ht="38" customHeight="1">
      <x:c r="A33" s="10" t="str">
        <x:v>QA-0029</x:v>
      </x:c>
      <x:c r="B33" s="10" t="str">
        <x:v>C. Authentication</x:v>
      </x:c>
      <x:c r="C33" s="10" t="str">
        <x:v>Expired invitation</x:v>
      </x:c>
      <x:c r="D33" s="10" t="str">
        <x:v>/signup /login /invitation /email-verification /forgot-password /reset-password</x:v>
      </x:c>
      <x:c r="E33" s="10" t="str">
        <x:v>Member A / anonymous</x:v>
      </x:c>
      <x:c r="F33" s="10" t="str">
        <x:v>P0</x:v>
      </x:c>
      <x:c r="G33" s="10" t="str">
        <x:v>Isolated only</x:v>
      </x:c>
      <x:c r="H33" s="10" t="str">
        <x:v>Record deployed build. Use assigned test accounts, synthetic data and approved fixtures/recipients only.</x:v>
      </x:c>
      <x:c r="I33" s="10" t="str">
        <x:v>Open a deliberately expired isolated invitation.</x:v>
      </x:c>
      <x:c r="J33" s="10" t="str">
        <x:v>Activation denied with recovery path; no credential creation.</x:v>
      </x:c>
      <x:c r="K33" s="11" t="str"/>
      <x:c r="L33" s="11" t="str">
        <x:v>Not run</x:v>
      </x:c>
      <x:c r="M33" s="11" t="str"/>
      <x:c r="N33" s="11" t="str"/>
      <x:c r="O33" s="11" t="str"/>
      <x:c r="P33" s="11" t="str"/>
      <x:c r="Q33" s="11" t="str"/>
      <x:c r="R33" s="11" t="str"/>
      <x:c r="S33" s="10" t="str">
        <x:v>Browser + API + database</x:v>
      </x:c>
      <x:c r="T33" s="10" t="str">
        <x:v>Approved testing plan</x:v>
      </x:c>
      <x:c r="U33" s="10" t="str">
        <x:v>Reconcile tagged fixtures; archive/withdraw only owned test publications. Preserve audit/financial history.</x:v>
      </x:c>
      <x:c r="V33" s="12" t="str">
        <x:f>IF(A33="","",IF(L33="Not run","Pending",IF(OR(L33="Blocked",L33="Not deployed",L33="Not applicable"),IF(OR(K33="",R33=""),"Needs explanation","Recorded"),IF(OR(L33="Pass",L33="Fail"),IF(OR(K33="",M33="",P33=""),"Needs result/evidence/build","Recorded"),"Needs valid status"))))</x:f>
        <x:v>Pending</x:v>
      </x:c>
    </x:row>
    <x:row r="34" ht="38" customHeight="1">
      <x:c r="A34" s="10" t="str">
        <x:v>QA-0030</x:v>
      </x:c>
      <x:c r="B34" s="10" t="str">
        <x:v>C. Authentication</x:v>
      </x:c>
      <x:c r="C34" s="10" t="str">
        <x:v>Reused invitation</x:v>
      </x:c>
      <x:c r="D34" s="10" t="str">
        <x:v>/signup /login /invitation /email-verification /forgot-password /reset-password</x:v>
      </x:c>
      <x:c r="E34" s="10" t="str">
        <x:v>Member A / anonymous</x:v>
      </x:c>
      <x:c r="F34" s="10" t="str">
        <x:v>P0</x:v>
      </x:c>
      <x:c r="G34" s="10" t="str">
        <x:v>Live - tagged fixture</x:v>
      </x:c>
      <x:c r="H34" s="10" t="str">
        <x:v>Record deployed build. Use assigned test accounts, synthetic data and approved fixtures/recipients only.</x:v>
      </x:c>
      <x:c r="I34" s="10" t="str">
        <x:v>Repeat activation using the consumed QA link.</x:v>
      </x:c>
      <x:c r="J34" s="10" t="str">
        <x:v>No credential replacement, duplicate identity or extra activation send.</x:v>
      </x:c>
      <x:c r="K34" s="11" t="str"/>
      <x:c r="L34" s="11" t="str">
        <x:v>Not run</x:v>
      </x:c>
      <x:c r="M34" s="11" t="str"/>
      <x:c r="N34" s="11" t="str"/>
      <x:c r="O34" s="11" t="str"/>
      <x:c r="P34" s="11" t="str"/>
      <x:c r="Q34" s="11" t="str"/>
      <x:c r="R34" s="11" t="str"/>
      <x:c r="S34" s="10" t="str">
        <x:v>Browser + API + database</x:v>
      </x:c>
      <x:c r="T34" s="10" t="str">
        <x:v>Approved testing plan</x:v>
      </x:c>
      <x:c r="U34" s="10" t="str">
        <x:v>Reconcile tagged fixtures; archive/withdraw only owned test publications. Preserve audit/financial history.</x:v>
      </x:c>
      <x:c r="V34" s="12" t="str">
        <x:f>IF(A34="","",IF(L34="Not run","Pending",IF(OR(L34="Blocked",L34="Not deployed",L34="Not applicable"),IF(OR(K34="",R34=""),"Needs explanation","Recorded"),IF(OR(L34="Pass",L34="Fail"),IF(OR(K34="",M34="",P34=""),"Needs result/evidence/build","Recorded"),"Needs valid status"))))</x:f>
        <x:v>Pending</x:v>
      </x:c>
    </x:row>
    <x:row r="35" ht="38" customHeight="1">
      <x:c r="A35" s="10" t="str">
        <x:v>QA-0031</x:v>
      </x:c>
      <x:c r="B35" s="10" t="str">
        <x:v>C. Authentication</x:v>
      </x:c>
      <x:c r="C35" s="10" t="str">
        <x:v>Wrong signed-in verification identity</x:v>
      </x:c>
      <x:c r="D35" s="10" t="str">
        <x:v>/signup /login /invitation /email-verification /forgot-password /reset-password</x:v>
      </x:c>
      <x:c r="E35" s="10" t="str">
        <x:v>Member A / anonymous</x:v>
      </x:c>
      <x:c r="F35" s="10" t="str">
        <x:v>P0</x:v>
      </x:c>
      <x:c r="G35" s="10" t="str">
        <x:v>Live - tagged fixture</x:v>
      </x:c>
      <x:c r="H35" s="10" t="str">
        <x:v>Record deployed build. Use assigned test accounts, synthetic data and approved fixtures/recipients only.</x:v>
      </x:c>
      <x:c r="I35" s="10" t="str">
        <x:v>Open member A verification link while signed in as member B.</x:v>
      </x:c>
      <x:c r="J35" s="10" t="str">
        <x:v>Target identity is explicit; no silent verification of B or unintended session crossover.</x:v>
      </x:c>
      <x:c r="K35" s="11" t="str"/>
      <x:c r="L35" s="11" t="str">
        <x:v>Not run</x:v>
      </x:c>
      <x:c r="M35" s="11" t="str"/>
      <x:c r="N35" s="11" t="str"/>
      <x:c r="O35" s="11" t="str"/>
      <x:c r="P35" s="11" t="str"/>
      <x:c r="Q35" s="11" t="str"/>
      <x:c r="R35" s="11" t="str"/>
      <x:c r="S35" s="10" t="str">
        <x:v>Browser + API + database</x:v>
      </x:c>
      <x:c r="T35" s="10" t="str">
        <x:v>Approved testing plan</x:v>
      </x:c>
      <x:c r="U35" s="10" t="str">
        <x:v>Reconcile tagged fixtures; archive/withdraw only owned test publications. Preserve audit/financial history.</x:v>
      </x:c>
      <x:c r="V35" s="12" t="str">
        <x:f>IF(A35="","",IF(L35="Not run","Pending",IF(OR(L35="Blocked",L35="Not deployed",L35="Not applicable"),IF(OR(K35="",R35=""),"Needs explanation","Recorded"),IF(OR(L35="Pass",L35="Fail"),IF(OR(K35="",M35="",P35=""),"Needs result/evidence/build","Recorded"),"Needs valid status"))))</x:f>
        <x:v>Pending</x:v>
      </x:c>
    </x:row>
    <x:row r="36" ht="38" customHeight="1">
      <x:c r="A36" s="10" t="str">
        <x:v>QA-0032</x:v>
      </x:c>
      <x:c r="B36" s="10" t="str">
        <x:v>C. Authentication</x:v>
      </x:c>
      <x:c r="C36" s="10" t="str">
        <x:v>Wrong signed-in invitation identity</x:v>
      </x:c>
      <x:c r="D36" s="10" t="str">
        <x:v>/signup /login /invitation /email-verification /forgot-password /reset-password</x:v>
      </x:c>
      <x:c r="E36" s="10" t="str">
        <x:v>Member A / anonymous</x:v>
      </x:c>
      <x:c r="F36" s="10" t="str">
        <x:v>P0</x:v>
      </x:c>
      <x:c r="G36" s="10" t="str">
        <x:v>Live - tagged fixture</x:v>
      </x:c>
      <x:c r="H36" s="10" t="str">
        <x:v>Record deployed build. Use assigned test accounts, synthetic data and approved fixtures/recipients only.</x:v>
      </x:c>
      <x:c r="I36" s="10" t="str">
        <x:v>Open member A invitation while signed in as member B.</x:v>
      </x:c>
      <x:c r="J36" s="10" t="str">
        <x:v>Explicit target and account-switch behavior; B remains protected.</x:v>
      </x:c>
      <x:c r="K36" s="11" t="str"/>
      <x:c r="L36" s="11" t="str">
        <x:v>Not run</x:v>
      </x:c>
      <x:c r="M36" s="11" t="str"/>
      <x:c r="N36" s="11" t="str"/>
      <x:c r="O36" s="11" t="str"/>
      <x:c r="P36" s="11" t="str"/>
      <x:c r="Q36" s="11" t="str"/>
      <x:c r="R36" s="11" t="str"/>
      <x:c r="S36" s="10" t="str">
        <x:v>Browser + API + database</x:v>
      </x:c>
      <x:c r="T36" s="10" t="str">
        <x:v>Approved testing plan</x:v>
      </x:c>
      <x:c r="U36" s="10" t="str">
        <x:v>Reconcile tagged fixtures; archive/withdraw only owned test publications. Preserve audit/financial history.</x:v>
      </x:c>
      <x:c r="V36" s="12" t="str">
        <x:f>IF(A36="","",IF(L36="Not run","Pending",IF(OR(L36="Blocked",L36="Not deployed",L36="Not applicable"),IF(OR(K36="",R36=""),"Needs explanation","Recorded"),IF(OR(L36="Pass",L36="Fail"),IF(OR(K36="",M36="",P36=""),"Needs result/evidence/build","Recorded"),"Needs valid status"))))</x:f>
        <x:v>Pending</x:v>
      </x:c>
    </x:row>
    <x:row r="37" ht="38" customHeight="1">
      <x:c r="A37" s="10" t="str">
        <x:v>QA-0033</x:v>
      </x:c>
      <x:c r="B37" s="10" t="str">
        <x:v>C. Authentication</x:v>
      </x:c>
      <x:c r="C37" s="10" t="str">
        <x:v>Wrong signed-in reset identity</x:v>
      </x:c>
      <x:c r="D37" s="10" t="str">
        <x:v>/signup /login /invitation /email-verification /forgot-password /reset-password</x:v>
      </x:c>
      <x:c r="E37" s="10" t="str">
        <x:v>Member A / anonymous</x:v>
      </x:c>
      <x:c r="F37" s="10" t="str">
        <x:v>P0</x:v>
      </x:c>
      <x:c r="G37" s="10" t="str">
        <x:v>Live - tagged fixture</x:v>
      </x:c>
      <x:c r="H37" s="10" t="str">
        <x:v>Record deployed build. Use assigned test accounts, synthetic data and approved fixtures/recipients only.</x:v>
      </x:c>
      <x:c r="I37" s="10" t="str">
        <x:v>Open member A reset while signed in as member B.</x:v>
      </x:c>
      <x:c r="J37" s="10" t="str">
        <x:v>Password reset applies only to A; no disclosure or change to B.</x:v>
      </x:c>
      <x:c r="K37" s="11" t="str"/>
      <x:c r="L37" s="11" t="str">
        <x:v>Not run</x:v>
      </x:c>
      <x:c r="M37" s="11" t="str"/>
      <x:c r="N37" s="11" t="str"/>
      <x:c r="O37" s="11" t="str"/>
      <x:c r="P37" s="11" t="str"/>
      <x:c r="Q37" s="11" t="str"/>
      <x:c r="R37" s="11" t="str"/>
      <x:c r="S37" s="10" t="str">
        <x:v>Browser + API + database</x:v>
      </x:c>
      <x:c r="T37" s="10" t="str">
        <x:v>Approved testing plan</x:v>
      </x:c>
      <x:c r="U37" s="10" t="str">
        <x:v>Reconcile tagged fixtures; archive/withdraw only owned test publications. Preserve audit/financial history.</x:v>
      </x:c>
      <x:c r="V37" s="12" t="str">
        <x:f>IF(A37="","",IF(L37="Not run","Pending",IF(OR(L37="Blocked",L37="Not deployed",L37="Not applicable"),IF(OR(K37="",R37=""),"Needs explanation","Recorded"),IF(OR(L37="Pass",L37="Fail"),IF(OR(K37="",M37="",P37=""),"Needs result/evidence/build","Recorded"),"Needs valid status"))))</x:f>
        <x:v>Pending</x:v>
      </x:c>
    </x:row>
    <x:row r="38" ht="38" customHeight="1">
      <x:c r="A38" s="10" t="str">
        <x:v>QA-0034</x:v>
      </x:c>
      <x:c r="B38" s="10" t="str">
        <x:v>C. Authentication</x:v>
      </x:c>
      <x:c r="C38" s="10" t="str">
        <x:v>Successful login</x:v>
      </x:c>
      <x:c r="D38" s="10" t="str">
        <x:v>/signup /login /invitation /email-verification /forgot-password /reset-password</x:v>
      </x:c>
      <x:c r="E38" s="10" t="str">
        <x:v>Member A / anonymous</x:v>
      </x:c>
      <x:c r="F38" s="10" t="str">
        <x:v>P0</x:v>
      </x:c>
      <x:c r="G38" s="10" t="str">
        <x:v>Live - tagged fixture</x:v>
      </x:c>
      <x:c r="H38" s="10" t="str">
        <x:v>Record deployed build. Use assigned test accounts, synthetic data and approved fixtures/recipients only.</x:v>
      </x:c>
      <x:c r="I38" s="10" t="str">
        <x:v>Sign in using each assigned staff account and member A.</x:v>
      </x:c>
      <x:c r="J38" s="10" t="str">
        <x:v>Correct role-aware destination and accessible permitted workspaces.</x:v>
      </x:c>
      <x:c r="K38" s="11" t="str"/>
      <x:c r="L38" s="11" t="str">
        <x:v>Not run</x:v>
      </x:c>
      <x:c r="M38" s="11" t="str"/>
      <x:c r="N38" s="11" t="str"/>
      <x:c r="O38" s="11" t="str"/>
      <x:c r="P38" s="11" t="str"/>
      <x:c r="Q38" s="11" t="str"/>
      <x:c r="R38" s="11" t="str"/>
      <x:c r="S38" s="10" t="str">
        <x:v>Browser + API + database</x:v>
      </x:c>
      <x:c r="T38" s="10" t="str">
        <x:v>Approved testing plan</x:v>
      </x:c>
      <x:c r="U38" s="10" t="str">
        <x:v>Reconcile tagged fixtures; archive/withdraw only owned test publications. Preserve audit/financial history.</x:v>
      </x:c>
      <x:c r="V38" s="12" t="str">
        <x:f>IF(A38="","",IF(L38="Not run","Pending",IF(OR(L38="Blocked",L38="Not deployed",L38="Not applicable"),IF(OR(K38="",R38=""),"Needs explanation","Recorded"),IF(OR(L38="Pass",L38="Fail"),IF(OR(K38="",M38="",P38=""),"Needs result/evidence/build","Recorded"),"Needs valid status"))))</x:f>
        <x:v>Pending</x:v>
      </x:c>
    </x:row>
    <x:row r="39" ht="38" customHeight="1">
      <x:c r="A39" s="10" t="str">
        <x:v>QA-0035</x:v>
      </x:c>
      <x:c r="B39" s="10" t="str">
        <x:v>C. Authentication</x:v>
      </x:c>
      <x:c r="C39" s="10" t="str">
        <x:v>Incorrect login</x:v>
      </x:c>
      <x:c r="D39" s="10" t="str">
        <x:v>/signup /login /invitation /email-verification /forgot-password /reset-password</x:v>
      </x:c>
      <x:c r="E39" s="10" t="str">
        <x:v>Member A / anonymous</x:v>
      </x:c>
      <x:c r="F39" s="10" t="str">
        <x:v>P0</x:v>
      </x:c>
      <x:c r="G39" s="10" t="str">
        <x:v>Live - tagged fixture</x:v>
      </x:c>
      <x:c r="H39" s="10" t="str">
        <x:v>Record deployed build. Use assigned test accounts, synthetic data and approved fixtures/recipients only.</x:v>
      </x:c>
      <x:c r="I39" s="10" t="str">
        <x:v>Use incorrect password and unknown synthetic email once each.</x:v>
      </x:c>
      <x:c r="J39" s="10" t="str">
        <x:v>Safe error; no account enumeration beyond documented contract.</x:v>
      </x:c>
      <x:c r="K39" s="11" t="str"/>
      <x:c r="L39" s="11" t="str">
        <x:v>Not run</x:v>
      </x:c>
      <x:c r="M39" s="11" t="str"/>
      <x:c r="N39" s="11" t="str"/>
      <x:c r="O39" s="11" t="str"/>
      <x:c r="P39" s="11" t="str"/>
      <x:c r="Q39" s="11" t="str"/>
      <x:c r="R39" s="11" t="str"/>
      <x:c r="S39" s="10" t="str">
        <x:v>Browser + API + database</x:v>
      </x:c>
      <x:c r="T39" s="10" t="str">
        <x:v>Approved testing plan</x:v>
      </x:c>
      <x:c r="U39" s="10" t="str">
        <x:v>Reconcile tagged fixtures; archive/withdraw only owned test publications. Preserve audit/financial history.</x:v>
      </x:c>
      <x:c r="V39" s="12" t="str">
        <x:f>IF(A39="","",IF(L39="Not run","Pending",IF(OR(L39="Blocked",L39="Not deployed",L39="Not applicable"),IF(OR(K39="",R39=""),"Needs explanation","Recorded"),IF(OR(L39="Pass",L39="Fail"),IF(OR(K39="",M39="",P39=""),"Needs result/evidence/build","Recorded"),"Needs valid status"))))</x:f>
        <x:v>Pending</x:v>
      </x:c>
    </x:row>
    <x:row r="40" ht="38" customHeight="1">
      <x:c r="A40" s="10" t="str">
        <x:v>QA-0036</x:v>
      </x:c>
      <x:c r="B40" s="10" t="str">
        <x:v>C. Authentication</x:v>
      </x:c>
      <x:c r="C40" s="10" t="str">
        <x:v>Account switching</x:v>
      </x:c>
      <x:c r="D40" s="10" t="str">
        <x:v>/signup /login /invitation /email-verification /forgot-password /reset-password</x:v>
      </x:c>
      <x:c r="E40" s="10" t="str">
        <x:v>Member A / anonymous</x:v>
      </x:c>
      <x:c r="F40" s="10" t="str">
        <x:v>P0</x:v>
      </x:c>
      <x:c r="G40" s="10" t="str">
        <x:v>Live - tagged fixture</x:v>
      </x:c>
      <x:c r="H40" s="10" t="str">
        <x:v>Record deployed build. Use assigned test accounts, synthetic data and approved fixtures/recipients only.</x:v>
      </x:c>
      <x:c r="I40" s="10" t="str">
        <x:v>Use explicit switch-account navigation from an existing test session.</x:v>
      </x:c>
      <x:c r="J40" s="10" t="str">
        <x:v>Correct new identity and no stale prior-account data.</x:v>
      </x:c>
      <x:c r="K40" s="11" t="str"/>
      <x:c r="L40" s="11" t="str">
        <x:v>Not run</x:v>
      </x:c>
      <x:c r="M40" s="11" t="str"/>
      <x:c r="N40" s="11" t="str"/>
      <x:c r="O40" s="11" t="str"/>
      <x:c r="P40" s="11" t="str"/>
      <x:c r="Q40" s="11" t="str"/>
      <x:c r="R40" s="11" t="str"/>
      <x:c r="S40" s="10" t="str">
        <x:v>Browser + API + database</x:v>
      </x:c>
      <x:c r="T40" s="10" t="str">
        <x:v>Approved testing plan</x:v>
      </x:c>
      <x:c r="U40" s="10" t="str">
        <x:v>Reconcile tagged fixtures; archive/withdraw only owned test publications. Preserve audit/financial history.</x:v>
      </x:c>
      <x:c r="V40" s="12" t="str">
        <x:f>IF(A40="","",IF(L40="Not run","Pending",IF(OR(L40="Blocked",L40="Not deployed",L40="Not applicable"),IF(OR(K40="",R40=""),"Needs explanation","Recorded"),IF(OR(L40="Pass",L40="Fail"),IF(OR(K40="",M40="",P40=""),"Needs result/evidence/build","Recorded"),"Needs valid status"))))</x:f>
        <x:v>Pending</x:v>
      </x:c>
    </x:row>
    <x:row r="41" ht="38" customHeight="1">
      <x:c r="A41" s="10" t="str">
        <x:v>QA-0037</x:v>
      </x:c>
      <x:c r="B41" s="10" t="str">
        <x:v>C. Authentication</x:v>
      </x:c>
      <x:c r="C41" s="10" t="str">
        <x:v>Persistent login</x:v>
      </x:c>
      <x:c r="D41" s="10" t="str">
        <x:v>/signup /login /invitation /email-verification /forgot-password /reset-password</x:v>
      </x:c>
      <x:c r="E41" s="10" t="str">
        <x:v>Member A / anonymous</x:v>
      </x:c>
      <x:c r="F41" s="10" t="str">
        <x:v>P0</x:v>
      </x:c>
      <x:c r="G41" s="10" t="str">
        <x:v>Live - tagged fixture</x:v>
      </x:c>
      <x:c r="H41" s="10" t="str">
        <x:v>Record deployed build. Use assigned test accounts, synthetic data and approved fixtures/recipients only.</x:v>
      </x:c>
      <x:c r="I41" s="10" t="str">
        <x:v>Compare selected/unselected keep-signed-in behavior in a test browser restart.</x:v>
      </x:c>
      <x:c r="J41" s="10" t="str">
        <x:v>Session lifetime follows configuration; no accidental cross-account persistence.</x:v>
      </x:c>
      <x:c r="K41" s="11" t="str"/>
      <x:c r="L41" s="11" t="str">
        <x:v>Not run</x:v>
      </x:c>
      <x:c r="M41" s="11" t="str"/>
      <x:c r="N41" s="11" t="str"/>
      <x:c r="O41" s="11" t="str"/>
      <x:c r="P41" s="11" t="str"/>
      <x:c r="Q41" s="11" t="str"/>
      <x:c r="R41" s="11" t="str"/>
      <x:c r="S41" s="10" t="str">
        <x:v>Browser + API + database</x:v>
      </x:c>
      <x:c r="T41" s="10" t="str">
        <x:v>Approved testing plan</x:v>
      </x:c>
      <x:c r="U41" s="10" t="str">
        <x:v>Reconcile tagged fixtures; archive/withdraw only owned test publications. Preserve audit/financial history.</x:v>
      </x:c>
      <x:c r="V41" s="12" t="str">
        <x:f>IF(A41="","",IF(L41="Not run","Pending",IF(OR(L41="Blocked",L41="Not deployed",L41="Not applicable"),IF(OR(K41="",R41=""),"Needs explanation","Recorded"),IF(OR(L41="Pass",L41="Fail"),IF(OR(K41="",M41="",P41=""),"Needs result/evidence/build","Recorded"),"Needs valid status"))))</x:f>
        <x:v>Pending</x:v>
      </x:c>
    </x:row>
    <x:row r="42" ht="38" customHeight="1">
      <x:c r="A42" s="10" t="str">
        <x:v>QA-0038</x:v>
      </x:c>
      <x:c r="B42" s="10" t="str">
        <x:v>C. Authentication</x:v>
      </x:c>
      <x:c r="C42" s="10" t="str">
        <x:v>Session expiry</x:v>
      </x:c>
      <x:c r="D42" s="10" t="str">
        <x:v>/signup /login /invitation /email-verification /forgot-password /reset-password</x:v>
      </x:c>
      <x:c r="E42" s="10" t="str">
        <x:v>Member A / anonymous</x:v>
      </x:c>
      <x:c r="F42" s="10" t="str">
        <x:v>P0</x:v>
      </x:c>
      <x:c r="G42" s="10" t="str">
        <x:v>Isolated only</x:v>
      </x:c>
      <x:c r="H42" s="10" t="str">
        <x:v>Record deployed build. Use assigned test accounts, synthetic data and approved fixtures/recipients only.</x:v>
      </x:c>
      <x:c r="I42" s="10" t="str">
        <x:v>Expire an isolated session, then use a stale page and API request.</x:v>
      </x:c>
      <x:c r="J42" s="10" t="str">
        <x:v>Reauthentication required; failed mutation does not persist.</x:v>
      </x:c>
      <x:c r="K42" s="11" t="str"/>
      <x:c r="L42" s="11" t="str">
        <x:v>Not run</x:v>
      </x:c>
      <x:c r="M42" s="11" t="str"/>
      <x:c r="N42" s="11" t="str"/>
      <x:c r="O42" s="11" t="str"/>
      <x:c r="P42" s="11" t="str"/>
      <x:c r="Q42" s="11" t="str"/>
      <x:c r="R42" s="11" t="str"/>
      <x:c r="S42" s="10" t="str">
        <x:v>Browser + API + database</x:v>
      </x:c>
      <x:c r="T42" s="10" t="str">
        <x:v>Approved testing plan</x:v>
      </x:c>
      <x:c r="U42" s="10" t="str">
        <x:v>Reconcile tagged fixtures; archive/withdraw only owned test publications. Preserve audit/financial history.</x:v>
      </x:c>
      <x:c r="V42" s="12" t="str">
        <x:f>IF(A42="","",IF(L42="Not run","Pending",IF(OR(L42="Blocked",L42="Not deployed",L42="Not applicable"),IF(OR(K42="",R42=""),"Needs explanation","Recorded"),IF(OR(L42="Pass",L42="Fail"),IF(OR(K42="",M42="",P42=""),"Needs result/evidence/build","Recorded"),"Needs valid status"))))</x:f>
        <x:v>Pending</x:v>
      </x:c>
    </x:row>
    <x:row r="43" ht="38" customHeight="1">
      <x:c r="A43" s="10" t="str">
        <x:v>QA-0039</x:v>
      </x:c>
      <x:c r="B43" s="10" t="str">
        <x:v>C. Authentication</x:v>
      </x:c>
      <x:c r="C43" s="10" t="str">
        <x:v>Logout and Back</x:v>
      </x:c>
      <x:c r="D43" s="10" t="str">
        <x:v>/signup /login /invitation /email-verification /forgot-password /reset-password</x:v>
      </x:c>
      <x:c r="E43" s="10" t="str">
        <x:v>Member A / anonymous</x:v>
      </x:c>
      <x:c r="F43" s="10" t="str">
        <x:v>P0</x:v>
      </x:c>
      <x:c r="G43" s="10" t="str">
        <x:v>Live - tagged fixture</x:v>
      </x:c>
      <x:c r="H43" s="10" t="str">
        <x:v>Record deployed build. Use assigned test accounts, synthetic data and approved fixtures/recipients only.</x:v>
      </x:c>
      <x:c r="I43" s="10" t="str">
        <x:v>Logout, use browser Back and reload protected pages/direct APIs.</x:v>
      </x:c>
      <x:c r="J43" s="10" t="str">
        <x:v>No usable private content or authenticated action survives logout.</x:v>
      </x:c>
      <x:c r="K43" s="11" t="str"/>
      <x:c r="L43" s="11" t="str">
        <x:v>Not run</x:v>
      </x:c>
      <x:c r="M43" s="11" t="str"/>
      <x:c r="N43" s="11" t="str"/>
      <x:c r="O43" s="11" t="str"/>
      <x:c r="P43" s="11" t="str"/>
      <x:c r="Q43" s="11" t="str"/>
      <x:c r="R43" s="11" t="str"/>
      <x:c r="S43" s="10" t="str">
        <x:v>Browser + API + database</x:v>
      </x:c>
      <x:c r="T43" s="10" t="str">
        <x:v>Approved testing plan</x:v>
      </x:c>
      <x:c r="U43" s="10" t="str">
        <x:v>Reconcile tagged fixtures; archive/withdraw only owned test publications. Preserve audit/financial history.</x:v>
      </x:c>
      <x:c r="V43" s="12" t="str">
        <x:f>IF(A43="","",IF(L43="Not run","Pending",IF(OR(L43="Blocked",L43="Not deployed",L43="Not applicable"),IF(OR(K43="",R43=""),"Needs explanation","Recorded"),IF(OR(L43="Pass",L43="Fail"),IF(OR(K43="",M43="",P43=""),"Needs result/evidence/build","Recorded"),"Needs valid status"))))</x:f>
        <x:v>Pending</x:v>
      </x:c>
    </x:row>
    <x:row r="44" ht="38" customHeight="1">
      <x:c r="A44" s="10" t="str">
        <x:v>QA-0040</x:v>
      </x:c>
      <x:c r="B44" s="10" t="str">
        <x:v>C. Authentication</x:v>
      </x:c>
      <x:c r="C44" s="10" t="str">
        <x:v>Forgot password delivery</x:v>
      </x:c>
      <x:c r="D44" s="10" t="str">
        <x:v>/signup /login /invitation /email-verification /forgot-password /reset-password</x:v>
      </x:c>
      <x:c r="E44" s="10" t="str">
        <x:v>Member A / anonymous</x:v>
      </x:c>
      <x:c r="F44" s="10" t="str">
        <x:v>P0</x:v>
      </x:c>
      <x:c r="G44" s="10" t="str">
        <x:v>Live - tagged fixture</x:v>
      </x:c>
      <x:c r="H44" s="10" t="str">
        <x:v>Record deployed build. Use assigned test accounts, synthetic data and approved fixtures/recipients only.</x:v>
      </x:c>
      <x:c r="I44" s="10" t="str">
        <x:v>Request reset for QA account and inspect actual approved inbox.</x:v>
      </x:c>
      <x:c r="J44" s="10" t="str">
        <x:v>Correct recipient and destination; no reset secrets in logs/tracker.</x:v>
      </x:c>
      <x:c r="K44" s="11" t="str"/>
      <x:c r="L44" s="11" t="str">
        <x:v>Not run</x:v>
      </x:c>
      <x:c r="M44" s="11" t="str"/>
      <x:c r="N44" s="11" t="str"/>
      <x:c r="O44" s="11" t="str"/>
      <x:c r="P44" s="11" t="str"/>
      <x:c r="Q44" s="11" t="str"/>
      <x:c r="R44" s="11" t="str"/>
      <x:c r="S44" s="10" t="str">
        <x:v>Browser + API + database</x:v>
      </x:c>
      <x:c r="T44" s="10" t="str">
        <x:v>Approved testing plan</x:v>
      </x:c>
      <x:c r="U44" s="10" t="str">
        <x:v>Reconcile tagged fixtures; archive/withdraw only owned test publications. Preserve audit/financial history.</x:v>
      </x:c>
      <x:c r="V44" s="12" t="str">
        <x:f>IF(A44="","",IF(L44="Not run","Pending",IF(OR(L44="Blocked",L44="Not deployed",L44="Not applicable"),IF(OR(K44="",R44=""),"Needs explanation","Recorded"),IF(OR(L44="Pass",L44="Fail"),IF(OR(K44="",M44="",P44=""),"Needs result/evidence/build","Recorded"),"Needs valid status"))))</x:f>
        <x:v>Pending</x:v>
      </x:c>
    </x:row>
    <x:row r="45" ht="38" customHeight="1">
      <x:c r="A45" s="10" t="str">
        <x:v>QA-0041</x:v>
      </x:c>
      <x:c r="B45" s="10" t="str">
        <x:v>C. Authentication</x:v>
      </x:c>
      <x:c r="C45" s="10" t="str">
        <x:v>Reset completion</x:v>
      </x:c>
      <x:c r="D45" s="10" t="str">
        <x:v>/signup /login /invitation /email-verification /forgot-password /reset-password</x:v>
      </x:c>
      <x:c r="E45" s="10" t="str">
        <x:v>Member A / anonymous</x:v>
      </x:c>
      <x:c r="F45" s="10" t="str">
        <x:v>P0</x:v>
      </x:c>
      <x:c r="G45" s="10" t="str">
        <x:v>Live - tagged fixture</x:v>
      </x:c>
      <x:c r="H45" s="10" t="str">
        <x:v>Record deployed build. Use assigned test accounts, synthetic data and approved fixtures/recipients only.</x:v>
      </x:c>
      <x:c r="I45" s="10" t="str">
        <x:v>Reset QA password, test old/new login and session policy.</x:v>
      </x:c>
      <x:c r="J45" s="10" t="str">
        <x:v>New credential works; old credential fails; sessions follow documented revocation policy.</x:v>
      </x:c>
      <x:c r="K45" s="11" t="str"/>
      <x:c r="L45" s="11" t="str">
        <x:v>Not run</x:v>
      </x:c>
      <x:c r="M45" s="11" t="str"/>
      <x:c r="N45" s="11" t="str"/>
      <x:c r="O45" s="11" t="str"/>
      <x:c r="P45" s="11" t="str"/>
      <x:c r="Q45" s="11" t="str"/>
      <x:c r="R45" s="11" t="str"/>
      <x:c r="S45" s="10" t="str">
        <x:v>Browser + API + database</x:v>
      </x:c>
      <x:c r="T45" s="10" t="str">
        <x:v>Approved testing plan</x:v>
      </x:c>
      <x:c r="U45" s="10" t="str">
        <x:v>Reconcile tagged fixtures; archive/withdraw only owned test publications. Preserve audit/financial history.</x:v>
      </x:c>
      <x:c r="V45" s="12" t="str">
        <x:f>IF(A45="","",IF(L45="Not run","Pending",IF(OR(L45="Blocked",L45="Not deployed",L45="Not applicable"),IF(OR(K45="",R45=""),"Needs explanation","Recorded"),IF(OR(L45="Pass",L45="Fail"),IF(OR(K45="",M45="",P45=""),"Needs result/evidence/build","Recorded"),"Needs valid status"))))</x:f>
        <x:v>Pending</x:v>
      </x:c>
    </x:row>
    <x:row r="46" ht="38" customHeight="1">
      <x:c r="A46" s="10" t="str">
        <x:v>QA-0042</x:v>
      </x:c>
      <x:c r="B46" s="10" t="str">
        <x:v>C. Authentication</x:v>
      </x:c>
      <x:c r="C46" s="10" t="str">
        <x:v>Expired password reset</x:v>
      </x:c>
      <x:c r="D46" s="10" t="str">
        <x:v>/signup /login /invitation /email-verification /forgot-password /reset-password</x:v>
      </x:c>
      <x:c r="E46" s="10" t="str">
        <x:v>Member A / anonymous</x:v>
      </x:c>
      <x:c r="F46" s="10" t="str">
        <x:v>P0</x:v>
      </x:c>
      <x:c r="G46" s="10" t="str">
        <x:v>Isolated only</x:v>
      </x:c>
      <x:c r="H46" s="10" t="str">
        <x:v>Record deployed build. Use assigned test accounts, synthetic data and approved fixtures/recipients only.</x:v>
      </x:c>
      <x:c r="I46" s="10" t="str">
        <x:v>Open an expired isolated reset token.</x:v>
      </x:c>
      <x:c r="J46" s="10" t="str">
        <x:v>Reset rejected without changing credentials.</x:v>
      </x:c>
      <x:c r="K46" s="11" t="str"/>
      <x:c r="L46" s="11" t="str">
        <x:v>Not run</x:v>
      </x:c>
      <x:c r="M46" s="11" t="str"/>
      <x:c r="N46" s="11" t="str"/>
      <x:c r="O46" s="11" t="str"/>
      <x:c r="P46" s="11" t="str"/>
      <x:c r="Q46" s="11" t="str"/>
      <x:c r="R46" s="11" t="str"/>
      <x:c r="S46" s="10" t="str">
        <x:v>Browser + API + database</x:v>
      </x:c>
      <x:c r="T46" s="10" t="str">
        <x:v>Approved testing plan</x:v>
      </x:c>
      <x:c r="U46" s="10" t="str">
        <x:v>Reconcile tagged fixtures; archive/withdraw only owned test publications. Preserve audit/financial history.</x:v>
      </x:c>
      <x:c r="V46" s="12" t="str">
        <x:f>IF(A46="","",IF(L46="Not run","Pending",IF(OR(L46="Blocked",L46="Not deployed",L46="Not applicable"),IF(OR(K46="",R46=""),"Needs explanation","Recorded"),IF(OR(L46="Pass",L46="Fail"),IF(OR(K46="",M46="",P46=""),"Needs result/evidence/build","Recorded"),"Needs valid status"))))</x:f>
        <x:v>Pending</x:v>
      </x:c>
    </x:row>
    <x:row r="47" ht="38" customHeight="1">
      <x:c r="A47" s="10" t="str">
        <x:v>QA-0043</x:v>
      </x:c>
      <x:c r="B47" s="10" t="str">
        <x:v>C. Authentication</x:v>
      </x:c>
      <x:c r="C47" s="10" t="str">
        <x:v>Reused password reset</x:v>
      </x:c>
      <x:c r="D47" s="10" t="str">
        <x:v>/signup /login /invitation /email-verification /forgot-password /reset-password</x:v>
      </x:c>
      <x:c r="E47" s="10" t="str">
        <x:v>Member A / anonymous</x:v>
      </x:c>
      <x:c r="F47" s="10" t="str">
        <x:v>P0</x:v>
      </x:c>
      <x:c r="G47" s="10" t="str">
        <x:v>Live - tagged fixture</x:v>
      </x:c>
      <x:c r="H47" s="10" t="str">
        <x:v>Record deployed build. Use assigned test accounts, synthetic data and approved fixtures/recipients only.</x:v>
      </x:c>
      <x:c r="I47" s="10" t="str">
        <x:v>Reuse consumed QA reset link.</x:v>
      </x:c>
      <x:c r="J47" s="10" t="str">
        <x:v>No second credential change.</x:v>
      </x:c>
      <x:c r="K47" s="11" t="str"/>
      <x:c r="L47" s="11" t="str">
        <x:v>Not run</x:v>
      </x:c>
      <x:c r="M47" s="11" t="str"/>
      <x:c r="N47" s="11" t="str"/>
      <x:c r="O47" s="11" t="str"/>
      <x:c r="P47" s="11" t="str"/>
      <x:c r="Q47" s="11" t="str"/>
      <x:c r="R47" s="11" t="str"/>
      <x:c r="S47" s="10" t="str">
        <x:v>Browser + API + database</x:v>
      </x:c>
      <x:c r="T47" s="10" t="str">
        <x:v>Approved testing plan</x:v>
      </x:c>
      <x:c r="U47" s="10" t="str">
        <x:v>Reconcile tagged fixtures; archive/withdraw only owned test publications. Preserve audit/financial history.</x:v>
      </x:c>
      <x:c r="V47" s="12" t="str">
        <x:f>IF(A47="","",IF(L47="Not run","Pending",IF(OR(L47="Blocked",L47="Not deployed",L47="Not applicable"),IF(OR(K47="",R47=""),"Needs explanation","Recorded"),IF(OR(L47="Pass",L47="Fail"),IF(OR(K47="",M47="",P47=""),"Needs result/evidence/build","Recorded"),"Needs valid status"))))</x:f>
        <x:v>Pending</x:v>
      </x:c>
    </x:row>
    <x:row r="48" ht="38" customHeight="1">
      <x:c r="A48" s="10" t="str">
        <x:v>QA-0044</x:v>
      </x:c>
      <x:c r="B48" s="10" t="str">
        <x:v>C. Authentication</x:v>
      </x:c>
      <x:c r="C48" s="10" t="str">
        <x:v>Change password</x:v>
      </x:c>
      <x:c r="D48" s="10" t="str">
        <x:v>/signup /login /invitation /email-verification /forgot-password /reset-password</x:v>
      </x:c>
      <x:c r="E48" s="10" t="str">
        <x:v>Member A / anonymous</x:v>
      </x:c>
      <x:c r="F48" s="10" t="str">
        <x:v>P0</x:v>
      </x:c>
      <x:c r="G48" s="10" t="str">
        <x:v>Live - tagged fixture</x:v>
      </x:c>
      <x:c r="H48" s="10" t="str">
        <x:v>Record deployed build. Use assigned test accounts, synthetic data and approved fixtures/recipients only.</x:v>
      </x:c>
      <x:c r="I48" s="10" t="str">
        <x:v>Change password using correct and incorrect current password.</x:v>
      </x:c>
      <x:c r="J48" s="10" t="str">
        <x:v>Correct change persists; incorrect current password cannot authorize change.</x:v>
      </x:c>
      <x:c r="K48" s="11" t="str"/>
      <x:c r="L48" s="11" t="str">
        <x:v>Not run</x:v>
      </x:c>
      <x:c r="M48" s="11" t="str"/>
      <x:c r="N48" s="11" t="str"/>
      <x:c r="O48" s="11" t="str"/>
      <x:c r="P48" s="11" t="str"/>
      <x:c r="Q48" s="11" t="str"/>
      <x:c r="R48" s="11" t="str"/>
      <x:c r="S48" s="10" t="str">
        <x:v>Browser + API + database</x:v>
      </x:c>
      <x:c r="T48" s="10" t="str">
        <x:v>Approved testing plan</x:v>
      </x:c>
      <x:c r="U48" s="10" t="str">
        <x:v>Reconcile tagged fixtures; archive/withdraw only owned test publications. Preserve audit/financial history.</x:v>
      </x:c>
      <x:c r="V48" s="12" t="str">
        <x:f>IF(A48="","",IF(L48="Not run","Pending",IF(OR(L48="Blocked",L48="Not deployed",L48="Not applicable"),IF(OR(K48="",R48=""),"Needs explanation","Recorded"),IF(OR(L48="Pass",L48="Fail"),IF(OR(K48="",M48="",P48=""),"Needs result/evidence/build","Recorded"),"Needs valid status"))))</x:f>
        <x:v>Pending</x:v>
      </x:c>
    </x:row>
    <x:row r="49" ht="38" customHeight="1">
      <x:c r="A49" s="10" t="str">
        <x:v>QA-0045</x:v>
      </x:c>
      <x:c r="B49" s="10" t="str">
        <x:v>C. Authentication</x:v>
      </x:c>
      <x:c r="C49" s="10" t="str">
        <x:v>Authentication error hygiene</x:v>
      </x:c>
      <x:c r="D49" s="10" t="str">
        <x:v>/signup /login /invitation /email-verification /forgot-password /reset-password</x:v>
      </x:c>
      <x:c r="E49" s="10" t="str">
        <x:v>Member A / anonymous</x:v>
      </x:c>
      <x:c r="F49" s="10" t="str">
        <x:v>P0</x:v>
      </x:c>
      <x:c r="G49" s="10" t="str">
        <x:v>Live - tagged fixture</x:v>
      </x:c>
      <x:c r="H49" s="10" t="str">
        <x:v>Record deployed build. Use assigned test accounts, synthetic data and approved fixtures/recipients only.</x:v>
      </x:c>
      <x:c r="I49" s="10" t="str">
        <x:v>Inspect UI, response bodies and browser console during failed QA actions.</x:v>
      </x:c>
      <x:c r="J49" s="10" t="str">
        <x:v>No raw secrets, SQL errors, internal stack traces or unnecessary identity data.</x:v>
      </x:c>
      <x:c r="K49" s="11" t="str"/>
      <x:c r="L49" s="11" t="str">
        <x:v>Not run</x:v>
      </x:c>
      <x:c r="M49" s="11" t="str"/>
      <x:c r="N49" s="11" t="str"/>
      <x:c r="O49" s="11" t="str"/>
      <x:c r="P49" s="11" t="str"/>
      <x:c r="Q49" s="11" t="str"/>
      <x:c r="R49" s="11" t="str"/>
      <x:c r="S49" s="10" t="str">
        <x:v>Browser + API + database</x:v>
      </x:c>
      <x:c r="T49" s="10" t="str">
        <x:v>Approved testing plan</x:v>
      </x:c>
      <x:c r="U49" s="10" t="str">
        <x:v>Reconcile tagged fixtures; archive/withdraw only owned test publications. Preserve audit/financial history.</x:v>
      </x:c>
      <x:c r="V49" s="12" t="str">
        <x:f>IF(A49="","",IF(L49="Not run","Pending",IF(OR(L49="Blocked",L49="Not deployed",L49="Not applicable"),IF(OR(K49="",R49=""),"Needs explanation","Recorded"),IF(OR(L49="Pass",L49="Fail"),IF(OR(K49="",M49="",P49=""),"Needs result/evidence/build","Recorded"),"Needs valid status"))))</x:f>
        <x:v>Pending</x:v>
      </x:c>
    </x:row>
    <x:row r="50" ht="38" customHeight="1">
      <x:c r="A50" s="10" t="str">
        <x:v>QA-0046</x:v>
      </x:c>
      <x:c r="B50" s="10" t="str">
        <x:v>C. Authentication</x:v>
      </x:c>
      <x:c r="C50" s="10" t="str">
        <x:v>Optional provider sign-in</x:v>
      </x:c>
      <x:c r="D50" s="10" t="str">
        <x:v>/signup /login /invitation /email-verification /forgot-password /reset-password</x:v>
      </x:c>
      <x:c r="E50" s="10" t="str">
        <x:v>Member A / anonymous</x:v>
      </x:c>
      <x:c r="F50" s="10" t="str">
        <x:v>P0</x:v>
      </x:c>
      <x:c r="G50" s="10" t="str">
        <x:v>Live - tagged fixture</x:v>
      </x:c>
      <x:c r="H50" s="10" t="str">
        <x:v>Record deployed build. Use assigned test accounts, synthetic data and approved fixtures/recipients only.</x:v>
      </x:c>
      <x:c r="I50" s="10" t="str">
        <x:v>If enabled, complete provider sign-in with approved QA identity and cancellation path.</x:v>
      </x:c>
      <x:c r="J50" s="10" t="str">
        <x:v>Correct account linking/redirect; disabled capability is explicitly recorded.</x:v>
      </x:c>
      <x:c r="K50" s="11" t="str"/>
      <x:c r="L50" s="11" t="str">
        <x:v>Not run</x:v>
      </x:c>
      <x:c r="M50" s="11" t="str"/>
      <x:c r="N50" s="11" t="str"/>
      <x:c r="O50" s="11" t="str"/>
      <x:c r="P50" s="11" t="str"/>
      <x:c r="Q50" s="11" t="str"/>
      <x:c r="R50" s="11" t="str"/>
      <x:c r="S50" s="10" t="str">
        <x:v>Browser + API + database</x:v>
      </x:c>
      <x:c r="T50" s="10" t="str">
        <x:v>Approved testing plan</x:v>
      </x:c>
      <x:c r="U50" s="10" t="str">
        <x:v>Reconcile tagged fixtures; archive/withdraw only owned test publications. Preserve audit/financial history.</x:v>
      </x:c>
      <x:c r="V50" s="12" t="str">
        <x:f>IF(A50="","",IF(L50="Not run","Pending",IF(OR(L50="Blocked",L50="Not deployed",L50="Not applicable"),IF(OR(K50="",R50=""),"Needs explanation","Recorded"),IF(OR(L50="Pass",L50="Fail"),IF(OR(K50="",M50="",P50=""),"Needs result/evidence/build","Recorded"),"Needs valid status"))))</x:f>
        <x:v>Pending</x:v>
      </x:c>
    </x:row>
    <x:row r="51" ht="38" customHeight="1">
      <x:c r="A51" s="10" t="str">
        <x:v>QA-0047</x:v>
      </x:c>
      <x:c r="B51" s="10" t="str">
        <x:v>D. Application and verification</x:v>
      </x:c>
      <x:c r="C51" s="10" t="str">
        <x:v>Professional application</x:v>
      </x:c>
      <x:c r="D51" s="10" t="str">
        <x:v>/member/application /admin/workspaces/verification</x:v>
      </x:c>
      <x:c r="E51" s="10" t="str">
        <x:v>Member A / membership_reviewer</x:v>
      </x:c>
      <x:c r="F51" s="10" t="str">
        <x:v>P1</x:v>
      </x:c>
      <x:c r="G51" s="10" t="str">
        <x:v>Live - tagged fixture</x:v>
      </x:c>
      <x:c r="H51" s="10" t="str">
        <x:v>Record deployed build. Use assigned test accounts, synthetic data and approved fixtures/recipients only.</x:v>
      </x:c>
      <x:c r="I51" s="10" t="str">
        <x:v>Complete every application step with valid professional fixture.</x:v>
      </x:c>
      <x:c r="J51" s="10" t="str">
        <x:v>All applicable fields persist and review summary matches saved data.</x:v>
      </x:c>
      <x:c r="K51" s="11" t="str"/>
      <x:c r="L51" s="11" t="str">
        <x:v>Not run</x:v>
      </x:c>
      <x:c r="M51" s="11" t="str"/>
      <x:c r="N51" s="11" t="str"/>
      <x:c r="O51" s="11" t="str"/>
      <x:c r="P51" s="11" t="str"/>
      <x:c r="Q51" s="11" t="str"/>
      <x:c r="R51" s="11" t="str"/>
      <x:c r="S51" s="10" t="str">
        <x:v>Browser + API + database</x:v>
      </x:c>
      <x:c r="T51" s="10" t="str">
        <x:v>Approved testing plan</x:v>
      </x:c>
      <x:c r="U51" s="10" t="str">
        <x:v>Reconcile tagged fixtures; archive/withdraw only owned test publications. Preserve audit/financial history.</x:v>
      </x:c>
      <x:c r="V51" s="12" t="str">
        <x:f>IF(A51="","",IF(L51="Not run","Pending",IF(OR(L51="Blocked",L51="Not deployed",L51="Not applicable"),IF(OR(K51="",R51=""),"Needs explanation","Recorded"),IF(OR(L51="Pass",L51="Fail"),IF(OR(K51="",M51="",P51=""),"Needs result/evidence/build","Recorded"),"Needs valid status"))))</x:f>
        <x:v>Pending</x:v>
      </x:c>
    </x:row>
    <x:row r="52" ht="38" customHeight="1">
      <x:c r="A52" s="10" t="str">
        <x:v>QA-0048</x:v>
      </x:c>
      <x:c r="B52" s="10" t="str">
        <x:v>D. Application and verification</x:v>
      </x:c>
      <x:c r="C52" s="10" t="str">
        <x:v>Student application</x:v>
      </x:c>
      <x:c r="D52" s="10" t="str">
        <x:v>/member/application /admin/workspaces/verification</x:v>
      </x:c>
      <x:c r="E52" s="10" t="str">
        <x:v>Member A / membership_reviewer</x:v>
      </x:c>
      <x:c r="F52" s="10" t="str">
        <x:v>P1</x:v>
      </x:c>
      <x:c r="G52" s="10" t="str">
        <x:v>Live - tagged fixture</x:v>
      </x:c>
      <x:c r="H52" s="10" t="str">
        <x:v>Record deployed build. Use assigned test accounts, synthetic data and approved fixtures/recipients only.</x:v>
      </x:c>
      <x:c r="I52" s="10" t="str">
        <x:v>Complete the supported student branch with synthetic details.</x:v>
      </x:c>
      <x:c r="J52" s="10" t="str">
        <x:v>Only applicable requirements are enforced; no professional-only blocker.</x:v>
      </x:c>
      <x:c r="K52" s="11" t="str"/>
      <x:c r="L52" s="11" t="str">
        <x:v>Not run</x:v>
      </x:c>
      <x:c r="M52" s="11" t="str"/>
      <x:c r="N52" s="11" t="str"/>
      <x:c r="O52" s="11" t="str"/>
      <x:c r="P52" s="11" t="str"/>
      <x:c r="Q52" s="11" t="str"/>
      <x:c r="R52" s="11" t="str"/>
      <x:c r="S52" s="10" t="str">
        <x:v>Browser + API + database</x:v>
      </x:c>
      <x:c r="T52" s="10" t="str">
        <x:v>Approved testing plan</x:v>
      </x:c>
      <x:c r="U52" s="10" t="str">
        <x:v>Reconcile tagged fixtures; archive/withdraw only owned test publications. Preserve audit/financial history.</x:v>
      </x:c>
      <x:c r="V52" s="12" t="str">
        <x:f>IF(A52="","",IF(L52="Not run","Pending",IF(OR(L52="Blocked",L52="Not deployed",L52="Not applicable"),IF(OR(K52="",R52=""),"Needs explanation","Recorded"),IF(OR(L52="Pass",L52="Fail"),IF(OR(K52="",M52="",P52=""),"Needs result/evidence/build","Recorded"),"Needs valid status"))))</x:f>
        <x:v>Pending</x:v>
      </x:c>
    </x:row>
    <x:row r="53" ht="38" customHeight="1">
      <x:c r="A53" s="10" t="str">
        <x:v>QA-0049</x:v>
      </x:c>
      <x:c r="B53" s="10" t="str">
        <x:v>D. Application and verification</x:v>
      </x:c>
      <x:c r="C53" s="10" t="str">
        <x:v>Required and conditional fields</x:v>
      </x:c>
      <x:c r="D53" s="10" t="str">
        <x:v>/member/application /admin/workspaces/verification</x:v>
      </x:c>
      <x:c r="E53" s="10" t="str">
        <x:v>Member A / membership_reviewer</x:v>
      </x:c>
      <x:c r="F53" s="10" t="str">
        <x:v>P1</x:v>
      </x:c>
      <x:c r="G53" s="10" t="str">
        <x:v>Live - tagged fixture</x:v>
      </x:c>
      <x:c r="H53" s="10" t="str">
        <x:v>Record deployed build. Use assigned test accounts, synthetic data and approved fixtures/recipients only.</x:v>
      </x:c>
      <x:c r="I53" s="10" t="str">
        <x:v>Omit each mandatory/conditional field and attempt next/submit.</x:v>
      </x:c>
      <x:c r="J53" s="10" t="str">
        <x:v>Clear field guidance; server rejects incomplete application.</x:v>
      </x:c>
      <x:c r="K53" s="11" t="str"/>
      <x:c r="L53" s="11" t="str">
        <x:v>Not run</x:v>
      </x:c>
      <x:c r="M53" s="11" t="str"/>
      <x:c r="N53" s="11" t="str"/>
      <x:c r="O53" s="11" t="str"/>
      <x:c r="P53" s="11" t="str"/>
      <x:c r="Q53" s="11" t="str"/>
      <x:c r="R53" s="11" t="str"/>
      <x:c r="S53" s="10" t="str">
        <x:v>Browser + API + database</x:v>
      </x:c>
      <x:c r="T53" s="10" t="str">
        <x:v>Approved testing plan</x:v>
      </x:c>
      <x:c r="U53" s="10" t="str">
        <x:v>Reconcile tagged fixtures; archive/withdraw only owned test publications. Preserve audit/financial history.</x:v>
      </x:c>
      <x:c r="V53" s="12" t="str">
        <x:f>IF(A53="","",IF(L53="Not run","Pending",IF(OR(L53="Blocked",L53="Not deployed",L53="Not applicable"),IF(OR(K53="",R53=""),"Needs explanation","Recorded"),IF(OR(L53="Pass",L53="Fail"),IF(OR(K53="",M53="",P53=""),"Needs result/evidence/build","Recorded"),"Needs valid status"))))</x:f>
        <x:v>Pending</x:v>
      </x:c>
    </x:row>
    <x:row r="54" ht="38" customHeight="1">
      <x:c r="A54" s="10" t="str">
        <x:v>QA-0050</x:v>
      </x:c>
      <x:c r="B54" s="10" t="str">
        <x:v>D. Application and verification</x:v>
      </x:c>
      <x:c r="C54" s="10" t="str">
        <x:v>Field format boundaries</x:v>
      </x:c>
      <x:c r="D54" s="10" t="str">
        <x:v>/member/application /admin/workspaces/verification</x:v>
      </x:c>
      <x:c r="E54" s="10" t="str">
        <x:v>Member A / membership_reviewer</x:v>
      </x:c>
      <x:c r="F54" s="10" t="str">
        <x:v>P1</x:v>
      </x:c>
      <x:c r="G54" s="10" t="str">
        <x:v>Live - tagged fixture</x:v>
      </x:c>
      <x:c r="H54" s="10" t="str">
        <x:v>Record deployed build. Use assigned test accounts, synthetic data and approved fixtures/recipients only.</x:v>
      </x:c>
      <x:c r="I54" s="10" t="str">
        <x:v>Try long text, Unicode, invalid contact formats and exact supported limits.</x:v>
      </x:c>
      <x:c r="J54" s="10" t="str">
        <x:v>Correct validation without truncation or silent data loss.</x:v>
      </x:c>
      <x:c r="K54" s="11" t="str"/>
      <x:c r="L54" s="11" t="str">
        <x:v>Not run</x:v>
      </x:c>
      <x:c r="M54" s="11" t="str"/>
      <x:c r="N54" s="11" t="str"/>
      <x:c r="O54" s="11" t="str"/>
      <x:c r="P54" s="11" t="str"/>
      <x:c r="Q54" s="11" t="str"/>
      <x:c r="R54" s="11" t="str"/>
      <x:c r="S54" s="10" t="str">
        <x:v>Browser + API + database</x:v>
      </x:c>
      <x:c r="T54" s="10" t="str">
        <x:v>Approved testing plan</x:v>
      </x:c>
      <x:c r="U54" s="10" t="str">
        <x:v>Reconcile tagged fixtures; archive/withdraw only owned test publications. Preserve audit/financial history.</x:v>
      </x:c>
      <x:c r="V54" s="12" t="str">
        <x:f>IF(A54="","",IF(L54="Not run","Pending",IF(OR(L54="Blocked",L54="Not deployed",L54="Not applicable"),IF(OR(K54="",R54=""),"Needs explanation","Recorded"),IF(OR(L54="Pass",L54="Fail"),IF(OR(K54="",M54="",P54=""),"Needs result/evidence/build","Recorded"),"Needs valid status"))))</x:f>
        <x:v>Pending</x:v>
      </x:c>
    </x:row>
    <x:row r="55" ht="38" customHeight="1">
      <x:c r="A55" s="10" t="str">
        <x:v>QA-0051</x:v>
      </x:c>
      <x:c r="B55" s="10" t="str">
        <x:v>D. Application and verification</x:v>
      </x:c>
      <x:c r="C55" s="10" t="str">
        <x:v>Postal selection</x:v>
      </x:c>
      <x:c r="D55" s="10" t="str">
        <x:v>/member/application /admin/workspaces/verification</x:v>
      </x:c>
      <x:c r="E55" s="10" t="str">
        <x:v>Member A / membership_reviewer</x:v>
      </x:c>
      <x:c r="F55" s="10" t="str">
        <x:v>P1</x:v>
      </x:c>
      <x:c r="G55" s="10" t="str">
        <x:v>Live - tagged fixture</x:v>
      </x:c>
      <x:c r="H55" s="10" t="str">
        <x:v>Record deployed build. Use assigned test accounts, synthetic data and approved fixtures/recipients only.</x:v>
      </x:c>
      <x:c r="I55" s="10" t="str">
        <x:v>Select state/district/city/postal values and change parent selections.</x:v>
      </x:c>
      <x:c r="J55" s="10" t="str">
        <x:v>Dependent values stay valid; unavailable location data has clear handling.</x:v>
      </x:c>
      <x:c r="K55" s="11" t="str"/>
      <x:c r="L55" s="11" t="str">
        <x:v>Not run</x:v>
      </x:c>
      <x:c r="M55" s="11" t="str"/>
      <x:c r="N55" s="11" t="str"/>
      <x:c r="O55" s="11" t="str"/>
      <x:c r="P55" s="11" t="str"/>
      <x:c r="Q55" s="11" t="str"/>
      <x:c r="R55" s="11" t="str"/>
      <x:c r="S55" s="10" t="str">
        <x:v>Browser + API + database</x:v>
      </x:c>
      <x:c r="T55" s="10" t="str">
        <x:v>Approved testing plan</x:v>
      </x:c>
      <x:c r="U55" s="10" t="str">
        <x:v>Reconcile tagged fixtures; archive/withdraw only owned test publications. Preserve audit/financial history.</x:v>
      </x:c>
      <x:c r="V55" s="12" t="str">
        <x:f>IF(A55="","",IF(L55="Not run","Pending",IF(OR(L55="Blocked",L55="Not deployed",L55="Not applicable"),IF(OR(K55="",R55=""),"Needs explanation","Recorded"),IF(OR(L55="Pass",L55="Fail"),IF(OR(K55="",M55="",P55=""),"Needs result/evidence/build","Recorded"),"Needs valid status"))))</x:f>
        <x:v>Pending</x:v>
      </x:c>
    </x:row>
    <x:row r="56" ht="38" customHeight="1">
      <x:c r="A56" s="10" t="str">
        <x:v>QA-0052</x:v>
      </x:c>
      <x:c r="B56" s="10" t="str">
        <x:v>D. Application and verification</x:v>
      </x:c>
      <x:c r="C56" s="10" t="str">
        <x:v>Save and reload</x:v>
      </x:c>
      <x:c r="D56" s="10" t="str">
        <x:v>/member/application /admin/workspaces/verification</x:v>
      </x:c>
      <x:c r="E56" s="10" t="str">
        <x:v>Member A / membership_reviewer</x:v>
      </x:c>
      <x:c r="F56" s="10" t="str">
        <x:v>P1</x:v>
      </x:c>
      <x:c r="G56" s="10" t="str">
        <x:v>Live - tagged fixture</x:v>
      </x:c>
      <x:c r="H56" s="10" t="str">
        <x:v>Record deployed build. Use assigned test accounts, synthetic data and approved fixtures/recipients only.</x:v>
      </x:c>
      <x:c r="I56" s="10" t="str">
        <x:v>Enter a partial application, wait for save confirmation, reload.</x:v>
      </x:c>
      <x:c r="J56" s="10" t="str">
        <x:v>Saved values match and no submission is implied.</x:v>
      </x:c>
      <x:c r="K56" s="11" t="str"/>
      <x:c r="L56" s="11" t="str">
        <x:v>Not run</x:v>
      </x:c>
      <x:c r="M56" s="11" t="str"/>
      <x:c r="N56" s="11" t="str"/>
      <x:c r="O56" s="11" t="str"/>
      <x:c r="P56" s="11" t="str"/>
      <x:c r="Q56" s="11" t="str"/>
      <x:c r="R56" s="11" t="str"/>
      <x:c r="S56" s="10" t="str">
        <x:v>Browser + API + database</x:v>
      </x:c>
      <x:c r="T56" s="10" t="str">
        <x:v>Approved testing plan</x:v>
      </x:c>
      <x:c r="U56" s="10" t="str">
        <x:v>Reconcile tagged fixtures; archive/withdraw only owned test publications. Preserve audit/financial history.</x:v>
      </x:c>
      <x:c r="V56" s="12" t="str">
        <x:f>IF(A56="","",IF(L56="Not run","Pending",IF(OR(L56="Blocked",L56="Not deployed",L56="Not applicable"),IF(OR(K56="",R56=""),"Needs explanation","Recorded"),IF(OR(L56="Pass",L56="Fail"),IF(OR(K56="",M56="",P56=""),"Needs result/evidence/build","Recorded"),"Needs valid status"))))</x:f>
        <x:v>Pending</x:v>
      </x:c>
    </x:row>
    <x:row r="57" ht="38" customHeight="1">
      <x:c r="A57" s="10" t="str">
        <x:v>QA-0053</x:v>
      </x:c>
      <x:c r="B57" s="10" t="str">
        <x:v>D. Application and verification</x:v>
      </x:c>
      <x:c r="C57" s="10" t="str">
        <x:v>Leave and resume</x:v>
      </x:c>
      <x:c r="D57" s="10" t="str">
        <x:v>/member/application /admin/workspaces/verification</x:v>
      </x:c>
      <x:c r="E57" s="10" t="str">
        <x:v>Member A / membership_reviewer</x:v>
      </x:c>
      <x:c r="F57" s="10" t="str">
        <x:v>P1</x:v>
      </x:c>
      <x:c r="G57" s="10" t="str">
        <x:v>Live - tagged fixture</x:v>
      </x:c>
      <x:c r="H57" s="10" t="str">
        <x:v>Record deployed build. Use assigned test accounts, synthetic data and approved fixtures/recipients only.</x:v>
      </x:c>
      <x:c r="I57" s="10" t="str">
        <x:v>Leave the application, sign out/in or use another approved device, resume.</x:v>
      </x:c>
      <x:c r="J57" s="10" t="str">
        <x:v>Saved progress and owned evidence remain accessible.</x:v>
      </x:c>
      <x:c r="K57" s="11" t="str"/>
      <x:c r="L57" s="11" t="str">
        <x:v>Not run</x:v>
      </x:c>
      <x:c r="M57" s="11" t="str"/>
      <x:c r="N57" s="11" t="str"/>
      <x:c r="O57" s="11" t="str"/>
      <x:c r="P57" s="11" t="str"/>
      <x:c r="Q57" s="11" t="str"/>
      <x:c r="R57" s="11" t="str"/>
      <x:c r="S57" s="10" t="str">
        <x:v>Browser + API + database</x:v>
      </x:c>
      <x:c r="T57" s="10" t="str">
        <x:v>Approved testing plan</x:v>
      </x:c>
      <x:c r="U57" s="10" t="str">
        <x:v>Reconcile tagged fixtures; archive/withdraw only owned test publications. Preserve audit/financial history.</x:v>
      </x:c>
      <x:c r="V57" s="12" t="str">
        <x:f>IF(A57="","",IF(L57="Not run","Pending",IF(OR(L57="Blocked",L57="Not deployed",L57="Not applicable"),IF(OR(K57="",R57=""),"Needs explanation","Recorded"),IF(OR(L57="Pass",L57="Fail"),IF(OR(K57="",M57="",P57=""),"Needs result/evidence/build","Recorded"),"Needs valid status"))))</x:f>
        <x:v>Pending</x:v>
      </x:c>
    </x:row>
    <x:row r="58" ht="38" customHeight="1">
      <x:c r="A58" s="10" t="str">
        <x:v>QA-0054</x:v>
      </x:c>
      <x:c r="B58" s="10" t="str">
        <x:v>D. Application and verification</x:v>
      </x:c>
      <x:c r="C58" s="10" t="str">
        <x:v>Offline save recovery</x:v>
      </x:c>
      <x:c r="D58" s="10" t="str">
        <x:v>/member/application /admin/workspaces/verification</x:v>
      </x:c>
      <x:c r="E58" s="10" t="str">
        <x:v>Member A / membership_reviewer</x:v>
      </x:c>
      <x:c r="F58" s="10" t="str">
        <x:v>P1</x:v>
      </x:c>
      <x:c r="G58" s="10" t="str">
        <x:v>Isolated only</x:v>
      </x:c>
      <x:c r="H58" s="10" t="str">
        <x:v>Record deployed build. Use assigned test accounts, synthetic data and approved fixtures/recipients only.</x:v>
      </x:c>
      <x:c r="I58" s="10" t="str">
        <x:v>Disconnect isolated browser during autosave; edit and reconnect.</x:v>
      </x:c>
      <x:c r="J58" s="10" t="str">
        <x:v>Unsaved state is visible; retry preserves input without false saved status.</x:v>
      </x:c>
      <x:c r="K58" s="11" t="str"/>
      <x:c r="L58" s="11" t="str">
        <x:v>Not run</x:v>
      </x:c>
      <x:c r="M58" s="11" t="str"/>
      <x:c r="N58" s="11" t="str"/>
      <x:c r="O58" s="11" t="str"/>
      <x:c r="P58" s="11" t="str"/>
      <x:c r="Q58" s="11" t="str"/>
      <x:c r="R58" s="11" t="str"/>
      <x:c r="S58" s="10" t="str">
        <x:v>Browser + API + database</x:v>
      </x:c>
      <x:c r="T58" s="10" t="str">
        <x:v>Approved testing plan</x:v>
      </x:c>
      <x:c r="U58" s="10" t="str">
        <x:v>Reconcile tagged fixtures; archive/withdraw only owned test publications. Preserve audit/financial history.</x:v>
      </x:c>
      <x:c r="V58" s="12" t="str">
        <x:f>IF(A58="","",IF(L58="Not run","Pending",IF(OR(L58="Blocked",L58="Not deployed",L58="Not applicable"),IF(OR(K58="",R58=""),"Needs explanation","Recorded"),IF(OR(L58="Pass",L58="Fail"),IF(OR(K58="",M58="",P58=""),"Needs result/evidence/build","Recorded"),"Needs valid status"))))</x:f>
        <x:v>Pending</x:v>
      </x:c>
    </x:row>
    <x:row r="59" ht="38" customHeight="1">
      <x:c r="A59" s="10" t="str">
        <x:v>QA-0055</x:v>
      </x:c>
      <x:c r="B59" s="10" t="str">
        <x:v>D. Application and verification</x:v>
      </x:c>
      <x:c r="C59" s="10" t="str">
        <x:v>Rapid edit ordering</x:v>
      </x:c>
      <x:c r="D59" s="10" t="str">
        <x:v>/member/application /admin/workspaces/verification</x:v>
      </x:c>
      <x:c r="E59" s="10" t="str">
        <x:v>Member A / membership_reviewer</x:v>
      </x:c>
      <x:c r="F59" s="10" t="str">
        <x:v>P1</x:v>
      </x:c>
      <x:c r="G59" s="10" t="str">
        <x:v>Isolated only</x:v>
      </x:c>
      <x:c r="H59" s="10" t="str">
        <x:v>Record deployed build. Use assigned test accounts, synthetic data and approved fixtures/recipients only.</x:v>
      </x:c>
      <x:c r="I59" s="10" t="str">
        <x:v>Make rapid isolated edits with delayed responses.</x:v>
      </x:c>
      <x:c r="J59" s="10" t="str">
        <x:v>Latest intended data persists; old responses do not overwrite it.</x:v>
      </x:c>
      <x:c r="K59" s="11" t="str"/>
      <x:c r="L59" s="11" t="str">
        <x:v>Not run</x:v>
      </x:c>
      <x:c r="M59" s="11" t="str"/>
      <x:c r="N59" s="11" t="str"/>
      <x:c r="O59" s="11" t="str"/>
      <x:c r="P59" s="11" t="str"/>
      <x:c r="Q59" s="11" t="str"/>
      <x:c r="R59" s="11" t="str"/>
      <x:c r="S59" s="10" t="str">
        <x:v>Browser + API + database</x:v>
      </x:c>
      <x:c r="T59" s="10" t="str">
        <x:v>Approved testing plan</x:v>
      </x:c>
      <x:c r="U59" s="10" t="str">
        <x:v>Reconcile tagged fixtures; archive/withdraw only owned test publications. Preserve audit/financial history.</x:v>
      </x:c>
      <x:c r="V59" s="12" t="str">
        <x:f>IF(A59="","",IF(L59="Not run","Pending",IF(OR(L59="Blocked",L59="Not deployed",L59="Not applicable"),IF(OR(K59="",R59=""),"Needs explanation","Recorded"),IF(OR(L59="Pass",L59="Fail"),IF(OR(K59="",M59="",P59=""),"Needs result/evidence/build","Recorded"),"Needs valid status"))))</x:f>
        <x:v>Pending</x:v>
      </x:c>
    </x:row>
    <x:row r="60" ht="38" customHeight="1">
      <x:c r="A60" s="10" t="str">
        <x:v>QA-0056</x:v>
      </x:c>
      <x:c r="B60" s="10" t="str">
        <x:v>D. Application and verification</x:v>
      </x:c>
      <x:c r="C60" s="10" t="str">
        <x:v>Two-tab conflict</x:v>
      </x:c>
      <x:c r="D60" s="10" t="str">
        <x:v>/member/application /admin/workspaces/verification</x:v>
      </x:c>
      <x:c r="E60" s="10" t="str">
        <x:v>Member A / membership_reviewer</x:v>
      </x:c>
      <x:c r="F60" s="10" t="str">
        <x:v>P1</x:v>
      </x:c>
      <x:c r="G60" s="10" t="str">
        <x:v>Live - tagged fixture</x:v>
      </x:c>
      <x:c r="H60" s="10" t="str">
        <x:v>Record deployed build. Use assigned test accounts, synthetic data and approved fixtures/recipients only.</x:v>
      </x:c>
      <x:c r="I60" s="10" t="str">
        <x:v>Edit the same QA application from two sessions/tabs.</x:v>
      </x:c>
      <x:c r="J60" s="10" t="str">
        <x:v>Stale save is rejected or reconciled explicitly; no silent overwrite.</x:v>
      </x:c>
      <x:c r="K60" s="11" t="str"/>
      <x:c r="L60" s="11" t="str">
        <x:v>Not run</x:v>
      </x:c>
      <x:c r="M60" s="11" t="str"/>
      <x:c r="N60" s="11" t="str"/>
      <x:c r="O60" s="11" t="str"/>
      <x:c r="P60" s="11" t="str"/>
      <x:c r="Q60" s="11" t="str"/>
      <x:c r="R60" s="11" t="str"/>
      <x:c r="S60" s="10" t="str">
        <x:v>Browser + API + database</x:v>
      </x:c>
      <x:c r="T60" s="10" t="str">
        <x:v>Approved testing plan</x:v>
      </x:c>
      <x:c r="U60" s="10" t="str">
        <x:v>Reconcile tagged fixtures; archive/withdraw only owned test publications. Preserve audit/financial history.</x:v>
      </x:c>
      <x:c r="V60" s="12" t="str">
        <x:f>IF(A60="","",IF(L60="Not run","Pending",IF(OR(L60="Blocked",L60="Not deployed",L60="Not applicable"),IF(OR(K60="",R60=""),"Needs explanation","Recorded"),IF(OR(L60="Pass",L60="Fail"),IF(OR(K60="",M60="",P60=""),"Needs result/evidence/build","Recorded"),"Needs valid status"))))</x:f>
        <x:v>Pending</x:v>
      </x:c>
    </x:row>
    <x:row r="61" ht="38" customHeight="1">
      <x:c r="A61" s="10" t="str">
        <x:v>QA-0057</x:v>
      </x:c>
      <x:c r="B61" s="10" t="str">
        <x:v>D. Application and verification</x:v>
      </x:c>
      <x:c r="C61" s="10" t="str">
        <x:v>Photo upload</x:v>
      </x:c>
      <x:c r="D61" s="10" t="str">
        <x:v>/member/application /admin/workspaces/verification</x:v>
      </x:c>
      <x:c r="E61" s="10" t="str">
        <x:v>Member A / membership_reviewer</x:v>
      </x:c>
      <x:c r="F61" s="10" t="str">
        <x:v>P1</x:v>
      </x:c>
      <x:c r="G61" s="10" t="str">
        <x:v>Live - tagged fixture</x:v>
      </x:c>
      <x:c r="H61" s="10" t="str">
        <x:v>Record deployed build. Use assigned test accounts, synthetic data and approved fixtures/recipients only.</x:v>
      </x:c>
      <x:c r="I61" s="10" t="str">
        <x:v>Upload a supported synthetic portrait and revisit application.</x:v>
      </x:c>
      <x:c r="J61" s="10" t="str">
        <x:v>Correct owned file and preview persist.</x:v>
      </x:c>
      <x:c r="K61" s="11" t="str"/>
      <x:c r="L61" s="11" t="str">
        <x:v>Not run</x:v>
      </x:c>
      <x:c r="M61" s="11" t="str"/>
      <x:c r="N61" s="11" t="str"/>
      <x:c r="O61" s="11" t="str"/>
      <x:c r="P61" s="11" t="str"/>
      <x:c r="Q61" s="11" t="str"/>
      <x:c r="R61" s="11" t="str"/>
      <x:c r="S61" s="10" t="str">
        <x:v>Browser + API + database</x:v>
      </x:c>
      <x:c r="T61" s="10" t="str">
        <x:v>Approved testing plan</x:v>
      </x:c>
      <x:c r="U61" s="10" t="str">
        <x:v>Reconcile tagged fixtures; archive/withdraw only owned test publications. Preserve audit/financial history.</x:v>
      </x:c>
      <x:c r="V61" s="12" t="str">
        <x:f>IF(A61="","",IF(L61="Not run","Pending",IF(OR(L61="Blocked",L61="Not deployed",L61="Not applicable"),IF(OR(K61="",R61=""),"Needs explanation","Recorded"),IF(OR(L61="Pass",L61="Fail"),IF(OR(K61="",M61="",P61=""),"Needs result/evidence/build","Recorded"),"Needs valid status"))))</x:f>
        <x:v>Pending</x:v>
      </x:c>
    </x:row>
    <x:row r="62" ht="38" customHeight="1">
      <x:c r="A62" s="10" t="str">
        <x:v>QA-0058</x:v>
      </x:c>
      <x:c r="B62" s="10" t="str">
        <x:v>D. Application and verification</x:v>
      </x:c>
      <x:c r="C62" s="10" t="str">
        <x:v>Evidence upload</x:v>
      </x:c>
      <x:c r="D62" s="10" t="str">
        <x:v>/member/application /admin/workspaces/verification</x:v>
      </x:c>
      <x:c r="E62" s="10" t="str">
        <x:v>Member A / membership_reviewer</x:v>
      </x:c>
      <x:c r="F62" s="10" t="str">
        <x:v>P1</x:v>
      </x:c>
      <x:c r="G62" s="10" t="str">
        <x:v>Live - tagged fixture</x:v>
      </x:c>
      <x:c r="H62" s="10" t="str">
        <x:v>Record deployed build. Use assigned test accounts, synthetic data and approved fixtures/recipients only.</x:v>
      </x:c>
      <x:c r="I62" s="10" t="str">
        <x:v>Upload each supported synthetic evidence format and inspect reviewer download.</x:v>
      </x:c>
      <x:c r="J62" s="10" t="str">
        <x:v>Correct file bytes, MIME and ownership are preserved.</x:v>
      </x:c>
      <x:c r="K62" s="11" t="str"/>
      <x:c r="L62" s="11" t="str">
        <x:v>Not run</x:v>
      </x:c>
      <x:c r="M62" s="11" t="str"/>
      <x:c r="N62" s="11" t="str"/>
      <x:c r="O62" s="11" t="str"/>
      <x:c r="P62" s="11" t="str"/>
      <x:c r="Q62" s="11" t="str"/>
      <x:c r="R62" s="11" t="str"/>
      <x:c r="S62" s="10" t="str">
        <x:v>Browser + API + database</x:v>
      </x:c>
      <x:c r="T62" s="10" t="str">
        <x:v>Approved testing plan</x:v>
      </x:c>
      <x:c r="U62" s="10" t="str">
        <x:v>Reconcile tagged fixtures; archive/withdraw only owned test publications. Preserve audit/financial history.</x:v>
      </x:c>
      <x:c r="V62" s="12" t="str">
        <x:f>IF(A62="","",IF(L62="Not run","Pending",IF(OR(L62="Blocked",L62="Not deployed",L62="Not applicable"),IF(OR(K62="",R62=""),"Needs explanation","Recorded"),IF(OR(L62="Pass",L62="Fail"),IF(OR(K62="",M62="",P62=""),"Needs result/evidence/build","Recorded"),"Needs valid status"))))</x:f>
        <x:v>Pending</x:v>
      </x:c>
    </x:row>
    <x:row r="63" ht="38" customHeight="1">
      <x:c r="A63" s="10" t="str">
        <x:v>QA-0059</x:v>
      </x:c>
      <x:c r="B63" s="10" t="str">
        <x:v>D. Application and verification</x:v>
      </x:c>
      <x:c r="C63" s="10" t="str">
        <x:v>Upload replacement</x:v>
      </x:c>
      <x:c r="D63" s="10" t="str">
        <x:v>/member/application /admin/workspaces/verification</x:v>
      </x:c>
      <x:c r="E63" s="10" t="str">
        <x:v>Member A / membership_reviewer</x:v>
      </x:c>
      <x:c r="F63" s="10" t="str">
        <x:v>P1</x:v>
      </x:c>
      <x:c r="G63" s="10" t="str">
        <x:v>Live - tagged fixture</x:v>
      </x:c>
      <x:c r="H63" s="10" t="str">
        <x:v>Record deployed build. Use assigned test accounts, synthetic data and approved fixtures/recipients only.</x:v>
      </x:c>
      <x:c r="I63" s="10" t="str">
        <x:v>Replace QA evidence/photo and verify current reference and retained history.</x:v>
      </x:c>
      <x:c r="J63" s="10" t="str">
        <x:v>Intended replacement appears; unrelated files remain unchanged.</x:v>
      </x:c>
      <x:c r="K63" s="11" t="str"/>
      <x:c r="L63" s="11" t="str">
        <x:v>Not run</x:v>
      </x:c>
      <x:c r="M63" s="11" t="str"/>
      <x:c r="N63" s="11" t="str"/>
      <x:c r="O63" s="11" t="str"/>
      <x:c r="P63" s="11" t="str"/>
      <x:c r="Q63" s="11" t="str"/>
      <x:c r="R63" s="11" t="str"/>
      <x:c r="S63" s="10" t="str">
        <x:v>Browser + API + database</x:v>
      </x:c>
      <x:c r="T63" s="10" t="str">
        <x:v>Approved testing plan</x:v>
      </x:c>
      <x:c r="U63" s="10" t="str">
        <x:v>Reconcile tagged fixtures; archive/withdraw only owned test publications. Preserve audit/financial history.</x:v>
      </x:c>
      <x:c r="V63" s="12" t="str">
        <x:f>IF(A63="","",IF(L63="Not run","Pending",IF(OR(L63="Blocked",L63="Not deployed",L63="Not applicable"),IF(OR(K63="",R63=""),"Needs explanation","Recorded"),IF(OR(L63="Pass",L63="Fail"),IF(OR(K63="",M63="",P63=""),"Needs result/evidence/build","Recorded"),"Needs valid status"))))</x:f>
        <x:v>Pending</x:v>
      </x:c>
    </x:row>
    <x:row r="64" ht="38" customHeight="1">
      <x:c r="A64" s="10" t="str">
        <x:v>QA-0060</x:v>
      </x:c>
      <x:c r="B64" s="10" t="str">
        <x:v>D. Application and verification</x:v>
      </x:c>
      <x:c r="C64" s="10" t="str">
        <x:v>Upload removal</x:v>
      </x:c>
      <x:c r="D64" s="10" t="str">
        <x:v>/member/application /admin/workspaces/verification</x:v>
      </x:c>
      <x:c r="E64" s="10" t="str">
        <x:v>Member A / membership_reviewer</x:v>
      </x:c>
      <x:c r="F64" s="10" t="str">
        <x:v>P1</x:v>
      </x:c>
      <x:c r="G64" s="10" t="str">
        <x:v>Live - tagged fixture</x:v>
      </x:c>
      <x:c r="H64" s="10" t="str">
        <x:v>Record deployed build. Use assigned test accounts, synthetic data and approved fixtures/recipients only.</x:v>
      </x:c>
      <x:c r="I64" s="10" t="str">
        <x:v>Remove a removable owned QA file and inspect application state.</x:v>
      </x:c>
      <x:c r="J64" s="10" t="str">
        <x:v>References and required-field validation update correctly.</x:v>
      </x:c>
      <x:c r="K64" s="11" t="str"/>
      <x:c r="L64" s="11" t="str">
        <x:v>Not run</x:v>
      </x:c>
      <x:c r="M64" s="11" t="str"/>
      <x:c r="N64" s="11" t="str"/>
      <x:c r="O64" s="11" t="str"/>
      <x:c r="P64" s="11" t="str"/>
      <x:c r="Q64" s="11" t="str"/>
      <x:c r="R64" s="11" t="str"/>
      <x:c r="S64" s="10" t="str">
        <x:v>Browser + API + database</x:v>
      </x:c>
      <x:c r="T64" s="10" t="str">
        <x:v>Approved testing plan</x:v>
      </x:c>
      <x:c r="U64" s="10" t="str">
        <x:v>Reconcile tagged fixtures; archive/withdraw only owned test publications. Preserve audit/financial history.</x:v>
      </x:c>
      <x:c r="V64" s="12" t="str">
        <x:f>IF(A64="","",IF(L64="Not run","Pending",IF(OR(L64="Blocked",L64="Not deployed",L64="Not applicable"),IF(OR(K64="",R64=""),"Needs explanation","Recorded"),IF(OR(L64="Pass",L64="Fail"),IF(OR(K64="",M64="",P64=""),"Needs result/evidence/build","Recorded"),"Needs valid status"))))</x:f>
        <x:v>Pending</x:v>
      </x:c>
    </x:row>
    <x:row r="65" ht="38" customHeight="1">
      <x:c r="A65" s="10" t="str">
        <x:v>QA-0061</x:v>
      </x:c>
      <x:c r="B65" s="10" t="str">
        <x:v>D. Application and verification</x:v>
      </x:c>
      <x:c r="C65" s="10" t="str">
        <x:v>Invalid upload</x:v>
      </x:c>
      <x:c r="D65" s="10" t="str">
        <x:v>/member/application /admin/workspaces/verification</x:v>
      </x:c>
      <x:c r="E65" s="10" t="str">
        <x:v>Member A / membership_reviewer</x:v>
      </x:c>
      <x:c r="F65" s="10" t="str">
        <x:v>P1</x:v>
      </x:c>
      <x:c r="G65" s="10" t="str">
        <x:v>Isolated only</x:v>
      </x:c>
      <x:c r="H65" s="10" t="str">
        <x:v>Record deployed build. Use assigned test accounts, synthetic data and approved fixtures/recipients only.</x:v>
      </x:c>
      <x:c r="I65" s="10" t="str">
        <x:v>Try wrong type, renamed invalid file, empty file and size boundary in isolation.</x:v>
      </x:c>
      <x:c r="J65" s="10" t="str">
        <x:v>Server validates type/content/size and leaves no broken active reference.</x:v>
      </x:c>
      <x:c r="K65" s="11" t="str"/>
      <x:c r="L65" s="11" t="str">
        <x:v>Not run</x:v>
      </x:c>
      <x:c r="M65" s="11" t="str"/>
      <x:c r="N65" s="11" t="str"/>
      <x:c r="O65" s="11" t="str"/>
      <x:c r="P65" s="11" t="str"/>
      <x:c r="Q65" s="11" t="str"/>
      <x:c r="R65" s="11" t="str"/>
      <x:c r="S65" s="10" t="str">
        <x:v>Browser + API + database</x:v>
      </x:c>
      <x:c r="T65" s="10" t="str">
        <x:v>Approved testing plan</x:v>
      </x:c>
      <x:c r="U65" s="10" t="str">
        <x:v>Reconcile tagged fixtures; archive/withdraw only owned test publications. Preserve audit/financial history.</x:v>
      </x:c>
      <x:c r="V65" s="12" t="str">
        <x:f>IF(A65="","",IF(L65="Not run","Pending",IF(OR(L65="Blocked",L65="Not deployed",L65="Not applicable"),IF(OR(K65="",R65=""),"Needs explanation","Recorded"),IF(OR(L65="Pass",L65="Fail"),IF(OR(K65="",M65="",P65=""),"Needs result/evidence/build","Recorded"),"Needs valid status"))))</x:f>
        <x:v>Pending</x:v>
      </x:c>
    </x:row>
    <x:row r="66" ht="38" customHeight="1">
      <x:c r="A66" s="10" t="str">
        <x:v>QA-0062</x:v>
      </x:c>
      <x:c r="B66" s="10" t="str">
        <x:v>D. Application and verification</x:v>
      </x:c>
      <x:c r="C66" s="10" t="str">
        <x:v>Submission email gate</x:v>
      </x:c>
      <x:c r="D66" s="10" t="str">
        <x:v>/member/application /admin/workspaces/verification</x:v>
      </x:c>
      <x:c r="E66" s="10" t="str">
        <x:v>Member A / membership_reviewer</x:v>
      </x:c>
      <x:c r="F66" s="10" t="str">
        <x:v>P1</x:v>
      </x:c>
      <x:c r="G66" s="10" t="str">
        <x:v>Live - tagged fixture</x:v>
      </x:c>
      <x:c r="H66" s="10" t="str">
        <x:v>Record deployed build. Use assigned test accounts, synthetic data and approved fixtures/recipients only.</x:v>
      </x:c>
      <x:c r="I66" s="10" t="str">
        <x:v>Attempt submission with a complete but unverified QA account.</x:v>
      </x:c>
      <x:c r="J66" s="10" t="str">
        <x:v>Submission follows verification prerequisite; no false success.</x:v>
      </x:c>
      <x:c r="K66" s="11" t="str"/>
      <x:c r="L66" s="11" t="str">
        <x:v>Not run</x:v>
      </x:c>
      <x:c r="M66" s="11" t="str"/>
      <x:c r="N66" s="11" t="str"/>
      <x:c r="O66" s="11" t="str"/>
      <x:c r="P66" s="11" t="str"/>
      <x:c r="Q66" s="11" t="str"/>
      <x:c r="R66" s="11" t="str"/>
      <x:c r="S66" s="10" t="str">
        <x:v>Browser + API + database</x:v>
      </x:c>
      <x:c r="T66" s="10" t="str">
        <x:v>Approved testing plan</x:v>
      </x:c>
      <x:c r="U66" s="10" t="str">
        <x:v>Reconcile tagged fixtures; archive/withdraw only owned test publications. Preserve audit/financial history.</x:v>
      </x:c>
      <x:c r="V66" s="12" t="str">
        <x:f>IF(A66="","",IF(L66="Not run","Pending",IF(OR(L66="Blocked",L66="Not deployed",L66="Not applicable"),IF(OR(K66="",R66=""),"Needs explanation","Recorded"),IF(OR(L66="Pass",L66="Fail"),IF(OR(K66="",M66="",P66=""),"Needs result/evidence/build","Recorded"),"Needs valid status"))))</x:f>
        <x:v>Pending</x:v>
      </x:c>
    </x:row>
    <x:row r="67" ht="38" customHeight="1">
      <x:c r="A67" s="10" t="str">
        <x:v>QA-0063</x:v>
      </x:c>
      <x:c r="B67" s="10" t="str">
        <x:v>D. Application and verification</x:v>
      </x:c>
      <x:c r="C67" s="10" t="str">
        <x:v>Valid submission</x:v>
      </x:c>
      <x:c r="D67" s="10" t="str">
        <x:v>/member/application /admin/workspaces/verification</x:v>
      </x:c>
      <x:c r="E67" s="10" t="str">
        <x:v>Member A / membership_reviewer</x:v>
      </x:c>
      <x:c r="F67" s="10" t="str">
        <x:v>P1</x:v>
      </x:c>
      <x:c r="G67" s="10" t="str">
        <x:v>Live - tagged fixture</x:v>
      </x:c>
      <x:c r="H67" s="10" t="str">
        <x:v>Record deployed build. Use assigned test accounts, synthetic data and approved fixtures/recipients only.</x:v>
      </x:c>
      <x:c r="I67" s="10" t="str">
        <x:v>Submit a complete verified QA application once and retry.</x:v>
      </x:c>
      <x:c r="J67" s="10" t="str">
        <x:v>One review submission with accurate member/staff state.</x:v>
      </x:c>
      <x:c r="K67" s="11" t="str"/>
      <x:c r="L67" s="11" t="str">
        <x:v>Not run</x:v>
      </x:c>
      <x:c r="M67" s="11" t="str"/>
      <x:c r="N67" s="11" t="str"/>
      <x:c r="O67" s="11" t="str"/>
      <x:c r="P67" s="11" t="str"/>
      <x:c r="Q67" s="11" t="str"/>
      <x:c r="R67" s="11" t="str"/>
      <x:c r="S67" s="10" t="str">
        <x:v>Browser + API + database</x:v>
      </x:c>
      <x:c r="T67" s="10" t="str">
        <x:v>Approved testing plan</x:v>
      </x:c>
      <x:c r="U67" s="10" t="str">
        <x:v>Reconcile tagged fixtures; archive/withdraw only owned test publications. Preserve audit/financial history.</x:v>
      </x:c>
      <x:c r="V67" s="12" t="str">
        <x:f>IF(A67="","",IF(L67="Not run","Pending",IF(OR(L67="Blocked",L67="Not deployed",L67="Not applicable"),IF(OR(K67="",R67=""),"Needs explanation","Recorded"),IF(OR(L67="Pass",L67="Fail"),IF(OR(K67="",M67="",P67=""),"Needs result/evidence/build","Recorded"),"Needs valid status"))))</x:f>
        <x:v>Pending</x:v>
      </x:c>
    </x:row>
    <x:row r="68" ht="38" customHeight="1">
      <x:c r="A68" s="10" t="str">
        <x:v>QA-0064</x:v>
      </x:c>
      <x:c r="B68" s="10" t="str">
        <x:v>D. Application and verification</x:v>
      </x:c>
      <x:c r="C68" s="10" t="str">
        <x:v>Request correction</x:v>
      </x:c>
      <x:c r="D68" s="10" t="str">
        <x:v>/member/application /admin/workspaces/verification</x:v>
      </x:c>
      <x:c r="E68" s="10" t="str">
        <x:v>Member A / membership_reviewer</x:v>
      </x:c>
      <x:c r="F68" s="10" t="str">
        <x:v>P1</x:v>
      </x:c>
      <x:c r="G68" s="10" t="str">
        <x:v>Live - tagged fixture</x:v>
      </x:c>
      <x:c r="H68" s="10" t="str">
        <x:v>Record deployed build. Use assigned test accounts, synthetic data and approved fixtures/recipients only.</x:v>
      </x:c>
      <x:c r="I68" s="10" t="str">
        <x:v>Reviewer inspects owned QA evidence and requests specific corrections.</x:v>
      </x:c>
      <x:c r="J68" s="10" t="str">
        <x:v>Member sees actionable feedback; review history identifies actor/time.</x:v>
      </x:c>
      <x:c r="K68" s="11" t="str"/>
      <x:c r="L68" s="11" t="str">
        <x:v>Not run</x:v>
      </x:c>
      <x:c r="M68" s="11" t="str"/>
      <x:c r="N68" s="11" t="str"/>
      <x:c r="O68" s="11" t="str"/>
      <x:c r="P68" s="11" t="str"/>
      <x:c r="Q68" s="11" t="str"/>
      <x:c r="R68" s="11" t="str"/>
      <x:c r="S68" s="10" t="str">
        <x:v>Browser + API + database</x:v>
      </x:c>
      <x:c r="T68" s="10" t="str">
        <x:v>Approved testing plan</x:v>
      </x:c>
      <x:c r="U68" s="10" t="str">
        <x:v>Reconcile tagged fixtures; archive/withdraw only owned test publications. Preserve audit/financial history.</x:v>
      </x:c>
      <x:c r="V68" s="12" t="str">
        <x:f>IF(A68="","",IF(L68="Not run","Pending",IF(OR(L68="Blocked",L68="Not deployed",L68="Not applicable"),IF(OR(K68="",R68=""),"Needs explanation","Recorded"),IF(OR(L68="Pass",L68="Fail"),IF(OR(K68="",M68="",P68=""),"Needs result/evidence/build","Recorded"),"Needs valid status"))))</x:f>
        <x:v>Pending</x:v>
      </x:c>
    </x:row>
    <x:row r="69" ht="38" customHeight="1">
      <x:c r="A69" s="10" t="str">
        <x:v>QA-0065</x:v>
      </x:c>
      <x:c r="B69" s="10" t="str">
        <x:v>D. Application and verification</x:v>
      </x:c>
      <x:c r="C69" s="10" t="str">
        <x:v>Correct and resubmit</x:v>
      </x:c>
      <x:c r="D69" s="10" t="str">
        <x:v>/member/application /admin/workspaces/verification</x:v>
      </x:c>
      <x:c r="E69" s="10" t="str">
        <x:v>Member A / membership_reviewer</x:v>
      </x:c>
      <x:c r="F69" s="10" t="str">
        <x:v>P1</x:v>
      </x:c>
      <x:c r="G69" s="10" t="str">
        <x:v>Live - tagged fixture</x:v>
      </x:c>
      <x:c r="H69" s="10" t="str">
        <x:v>Record deployed build. Use assigned test accounts, synthetic data and approved fixtures/recipients only.</x:v>
      </x:c>
      <x:c r="I69" s="10" t="str">
        <x:v>Member edits requested details and resubmits.</x:v>
      </x:c>
      <x:c r="J69" s="10" t="str">
        <x:v>New proposal/version is reviewed; prior history remains intact.</x:v>
      </x:c>
      <x:c r="K69" s="11" t="str"/>
      <x:c r="L69" s="11" t="str">
        <x:v>Not run</x:v>
      </x:c>
      <x:c r="M69" s="11" t="str"/>
      <x:c r="N69" s="11" t="str"/>
      <x:c r="O69" s="11" t="str"/>
      <x:c r="P69" s="11" t="str"/>
      <x:c r="Q69" s="11" t="str"/>
      <x:c r="R69" s="11" t="str"/>
      <x:c r="S69" s="10" t="str">
        <x:v>Browser + API + database</x:v>
      </x:c>
      <x:c r="T69" s="10" t="str">
        <x:v>Approved testing plan</x:v>
      </x:c>
      <x:c r="U69" s="10" t="str">
        <x:v>Reconcile tagged fixtures; archive/withdraw only owned test publications. Preserve audit/financial history.</x:v>
      </x:c>
      <x:c r="V69" s="12" t="str">
        <x:f>IF(A69="","",IF(L69="Not run","Pending",IF(OR(L69="Blocked",L69="Not deployed",L69="Not applicable"),IF(OR(K69="",R69=""),"Needs explanation","Recorded"),IF(OR(L69="Pass",L69="Fail"),IF(OR(K69="",M69="",P69=""),"Needs result/evidence/build","Recorded"),"Needs valid status"))))</x:f>
        <x:v>Pending</x:v>
      </x:c>
    </x:row>
    <x:row r="70" ht="38" customHeight="1">
      <x:c r="A70" s="10" t="str">
        <x:v>QA-0066</x:v>
      </x:c>
      <x:c r="B70" s="10" t="str">
        <x:v>D. Application and verification</x:v>
      </x:c>
      <x:c r="C70" s="10" t="str">
        <x:v>Approve review</x:v>
      </x:c>
      <x:c r="D70" s="10" t="str">
        <x:v>/member/application /admin/workspaces/verification</x:v>
      </x:c>
      <x:c r="E70" s="10" t="str">
        <x:v>Member A / membership_reviewer</x:v>
      </x:c>
      <x:c r="F70" s="10" t="str">
        <x:v>P1</x:v>
      </x:c>
      <x:c r="G70" s="10" t="str">
        <x:v>Live - tagged fixture</x:v>
      </x:c>
      <x:c r="H70" s="10" t="str">
        <x:v>Record deployed build. Use assigned test accounts, synthetic data and approved fixtures/recipients only.</x:v>
      </x:c>
      <x:c r="I70" s="10" t="str">
        <x:v>Reviewer approves the QA proposal.</x:v>
      </x:c>
      <x:c r="J70" s="10" t="str">
        <x:v>Correct accepted profile/verification state; no unrelated payment/membership/publication grant.</x:v>
      </x:c>
      <x:c r="K70" s="11" t="str"/>
      <x:c r="L70" s="11" t="str">
        <x:v>Not run</x:v>
      </x:c>
      <x:c r="M70" s="11" t="str"/>
      <x:c r="N70" s="11" t="str"/>
      <x:c r="O70" s="11" t="str"/>
      <x:c r="P70" s="11" t="str"/>
      <x:c r="Q70" s="11" t="str"/>
      <x:c r="R70" s="11" t="str"/>
      <x:c r="S70" s="10" t="str">
        <x:v>Browser + API + database</x:v>
      </x:c>
      <x:c r="T70" s="10" t="str">
        <x:v>Approved testing plan</x:v>
      </x:c>
      <x:c r="U70" s="10" t="str">
        <x:v>Reconcile tagged fixtures; archive/withdraw only owned test publications. Preserve audit/financial history.</x:v>
      </x:c>
      <x:c r="V70" s="12" t="str">
        <x:f>IF(A70="","",IF(L70="Not run","Pending",IF(OR(L70="Blocked",L70="Not deployed",L70="Not applicable"),IF(OR(K70="",R70=""),"Needs explanation","Recorded"),IF(OR(L70="Pass",L70="Fail"),IF(OR(K70="",M70="",P70=""),"Needs result/evidence/build","Recorded"),"Needs valid status"))))</x:f>
        <x:v>Pending</x:v>
      </x:c>
    </x:row>
    <x:row r="71" ht="38" customHeight="1">
      <x:c r="A71" s="10" t="str">
        <x:v>QA-0067</x:v>
      </x:c>
      <x:c r="B71" s="10" t="str">
        <x:v>D. Application and verification</x:v>
      </x:c>
      <x:c r="C71" s="10" t="str">
        <x:v>Reject review</x:v>
      </x:c>
      <x:c r="D71" s="10" t="str">
        <x:v>/member/application /admin/workspaces/verification</x:v>
      </x:c>
      <x:c r="E71" s="10" t="str">
        <x:v>Member A / membership_reviewer</x:v>
      </x:c>
      <x:c r="F71" s="10" t="str">
        <x:v>P1</x:v>
      </x:c>
      <x:c r="G71" s="10" t="str">
        <x:v>Live - tagged fixture</x:v>
      </x:c>
      <x:c r="H71" s="10" t="str">
        <x:v>Record deployed build. Use assigned test accounts, synthetic data and approved fixtures/recipients only.</x:v>
      </x:c>
      <x:c r="I71" s="10" t="str">
        <x:v>Reviewer rejects a separate QA proposal with a reason.</x:v>
      </x:c>
      <x:c r="J71" s="10" t="str">
        <x:v>Accurate rejected state and feedback; no accepted data overwritten improperly.</x:v>
      </x:c>
      <x:c r="K71" s="11" t="str"/>
      <x:c r="L71" s="11" t="str">
        <x:v>Not run</x:v>
      </x:c>
      <x:c r="M71" s="11" t="str"/>
      <x:c r="N71" s="11" t="str"/>
      <x:c r="O71" s="11" t="str"/>
      <x:c r="P71" s="11" t="str"/>
      <x:c r="Q71" s="11" t="str"/>
      <x:c r="R71" s="11" t="str"/>
      <x:c r="S71" s="10" t="str">
        <x:v>Browser + API + database</x:v>
      </x:c>
      <x:c r="T71" s="10" t="str">
        <x:v>Approved testing plan</x:v>
      </x:c>
      <x:c r="U71" s="10" t="str">
        <x:v>Reconcile tagged fixtures; archive/withdraw only owned test publications. Preserve audit/financial history.</x:v>
      </x:c>
      <x:c r="V71" s="12" t="str">
        <x:f>IF(A71="","",IF(L71="Not run","Pending",IF(OR(L71="Blocked",L71="Not deployed",L71="Not applicable"),IF(OR(K71="",R71=""),"Needs explanation","Recorded"),IF(OR(L71="Pass",L71="Fail"),IF(OR(K71="",M71="",P71=""),"Needs result/evidence/build","Recorded"),"Needs valid status"))))</x:f>
        <x:v>Pending</x:v>
      </x:c>
    </x:row>
    <x:row r="72" ht="38" customHeight="1">
      <x:c r="A72" s="10" t="str">
        <x:v>QA-0068</x:v>
      </x:c>
      <x:c r="B72" s="10" t="str">
        <x:v>D. Application and verification</x:v>
      </x:c>
      <x:c r="C72" s="10" t="str">
        <x:v>Review stale version</x:v>
      </x:c>
      <x:c r="D72" s="10" t="str">
        <x:v>/member/application /admin/workspaces/verification</x:v>
      </x:c>
      <x:c r="E72" s="10" t="str">
        <x:v>Member A / membership_reviewer</x:v>
      </x:c>
      <x:c r="F72" s="10" t="str">
        <x:v>P1</x:v>
      </x:c>
      <x:c r="G72" s="10" t="str">
        <x:v>Live - tagged fixture</x:v>
      </x:c>
      <x:c r="H72" s="10" t="str">
        <x:v>Record deployed build. Use assigned test accounts, synthetic data and approved fixtures/recipients only.</x:v>
      </x:c>
      <x:c r="I72" s="10" t="str">
        <x:v>Two reviewers act on the same QA version.</x:v>
      </x:c>
      <x:c r="J72" s="10" t="str">
        <x:v>Only valid current action succeeds; conflicting decision is visible.</x:v>
      </x:c>
      <x:c r="K72" s="11" t="str"/>
      <x:c r="L72" s="11" t="str">
        <x:v>Not run</x:v>
      </x:c>
      <x:c r="M72" s="11" t="str"/>
      <x:c r="N72" s="11" t="str"/>
      <x:c r="O72" s="11" t="str"/>
      <x:c r="P72" s="11" t="str"/>
      <x:c r="Q72" s="11" t="str"/>
      <x:c r="R72" s="11" t="str"/>
      <x:c r="S72" s="10" t="str">
        <x:v>Browser + API + database</x:v>
      </x:c>
      <x:c r="T72" s="10" t="str">
        <x:v>Approved testing plan</x:v>
      </x:c>
      <x:c r="U72" s="10" t="str">
        <x:v>Reconcile tagged fixtures; archive/withdraw only owned test publications. Preserve audit/financial history.</x:v>
      </x:c>
      <x:c r="V72" s="12" t="str">
        <x:f>IF(A72="","",IF(L72="Not run","Pending",IF(OR(L72="Blocked",L72="Not deployed",L72="Not applicable"),IF(OR(K72="",R72=""),"Needs explanation","Recorded"),IF(OR(L72="Pass",L72="Fail"),IF(OR(K72="",M72="",P72=""),"Needs result/evidence/build","Recorded"),"Needs valid status"))))</x:f>
        <x:v>Pending</x:v>
      </x:c>
    </x:row>
    <x:row r="73" ht="38" customHeight="1">
      <x:c r="A73" s="10" t="str">
        <x:v>QA-0069</x:v>
      </x:c>
      <x:c r="B73" s="10" t="str">
        <x:v>D. Application and verification</x:v>
      </x:c>
      <x:c r="C73" s="10" t="str">
        <x:v>Requirements versioning</x:v>
      </x:c>
      <x:c r="D73" s="10" t="str">
        <x:v>/member/application /admin/workspaces/verification</x:v>
      </x:c>
      <x:c r="E73" s="10" t="str">
        <x:v>Member A / membership_reviewer</x:v>
      </x:c>
      <x:c r="F73" s="10" t="str">
        <x:v>P1</x:v>
      </x:c>
      <x:c r="G73" s="10" t="str">
        <x:v>Isolated only</x:v>
      </x:c>
      <x:c r="H73" s="10" t="str">
        <x:v>Record deployed build. Use assigned test accounts, synthetic data and approved fixtures/recipients only.</x:v>
      </x:c>
      <x:c r="I73" s="10" t="str">
        <x:v>Publish an isolated mandatory requirement after existing profile verification.</x:v>
      </x:c>
      <x:c r="J73" s="10" t="str">
        <x:v>Existing badge and update-needed behavior follow versioned contract; data preserved.</x:v>
      </x:c>
      <x:c r="K73" s="11" t="str"/>
      <x:c r="L73" s="11" t="str">
        <x:v>Not run</x:v>
      </x:c>
      <x:c r="M73" s="11" t="str"/>
      <x:c r="N73" s="11" t="str"/>
      <x:c r="O73" s="11" t="str"/>
      <x:c r="P73" s="11" t="str"/>
      <x:c r="Q73" s="11" t="str"/>
      <x:c r="R73" s="11" t="str"/>
      <x:c r="S73" s="10" t="str">
        <x:v>Browser + API + database</x:v>
      </x:c>
      <x:c r="T73" s="10" t="str">
        <x:v>Approved testing plan</x:v>
      </x:c>
      <x:c r="U73" s="10" t="str">
        <x:v>Reconcile tagged fixtures; archive/withdraw only owned test publications. Preserve audit/financial history.</x:v>
      </x:c>
      <x:c r="V73" s="12" t="str">
        <x:f>IF(A73="","",IF(L73="Not run","Pending",IF(OR(L73="Blocked",L73="Not deployed",L73="Not applicable"),IF(OR(K73="",R73=""),"Needs explanation","Recorded"),IF(OR(L73="Pass",L73="Fail"),IF(OR(K73="",M73="",P73=""),"Needs result/evidence/build","Recorded"),"Needs valid status"))))</x:f>
        <x:v>Pending</x:v>
      </x:c>
    </x:row>
    <x:row r="74" ht="38" customHeight="1">
      <x:c r="A74" s="10" t="str">
        <x:v>QA-0070</x:v>
      </x:c>
      <x:c r="B74" s="10" t="str">
        <x:v>D. Application and verification</x:v>
      </x:c>
      <x:c r="C74" s="10" t="str">
        <x:v>Evidence privacy</x:v>
      </x:c>
      <x:c r="D74" s="10" t="str">
        <x:v>/member/application /admin/workspaces/verification</x:v>
      </x:c>
      <x:c r="E74" s="10" t="str">
        <x:v>Member A / membership_reviewer</x:v>
      </x:c>
      <x:c r="F74" s="10" t="str">
        <x:v>P0</x:v>
      </x:c>
      <x:c r="G74" s="10" t="str">
        <x:v>Live - tagged fixture</x:v>
      </x:c>
      <x:c r="H74" s="10" t="str">
        <x:v>Record deployed build. Use assigned test accounts, synthetic data and approved fixtures/recipients only.</x:v>
      </x:c>
      <x:c r="I74" s="10" t="str">
        <x:v>Member B and anonymous user open member A evidence/list URLs.</x:v>
      </x:c>
      <x:c r="J74" s="10" t="str">
        <x:v>No private bytes, names or listing leak; reviewer access is appropriately authorized/audited.</x:v>
      </x:c>
      <x:c r="K74" s="11" t="str"/>
      <x:c r="L74" s="11" t="str">
        <x:v>Not run</x:v>
      </x:c>
      <x:c r="M74" s="11" t="str"/>
      <x:c r="N74" s="11" t="str"/>
      <x:c r="O74" s="11" t="str"/>
      <x:c r="P74" s="11" t="str"/>
      <x:c r="Q74" s="11" t="str"/>
      <x:c r="R74" s="11" t="str"/>
      <x:c r="S74" s="10" t="str">
        <x:v>Browser + API + database</x:v>
      </x:c>
      <x:c r="T74" s="10" t="str">
        <x:v>Approved testing plan</x:v>
      </x:c>
      <x:c r="U74" s="10" t="str">
        <x:v>Reconcile tagged fixtures; archive/withdraw only owned test publications. Preserve audit/financial history.</x:v>
      </x:c>
      <x:c r="V74" s="12" t="str">
        <x:f>IF(A74="","",IF(L74="Not run","Pending",IF(OR(L74="Blocked",L74="Not deployed",L74="Not applicable"),IF(OR(K74="",R74=""),"Needs explanation","Recorded"),IF(OR(L74="Pass",L74="Fail"),IF(OR(K74="",M74="",P74=""),"Needs result/evidence/build","Recorded"),"Needs valid status"))))</x:f>
        <x:v>Pending</x:v>
      </x:c>
    </x:row>
    <x:row r="75" ht="38" customHeight="1">
      <x:c r="A75" s="10" t="str">
        <x:v>QA-0071</x:v>
      </x:c>
      <x:c r="B75" s="10" t="str">
        <x:v>E. Member portal</x:v>
      </x:c>
      <x:c r="C75" s="10" t="str">
        <x:v>Dashboard states</x:v>
      </x:c>
      <x:c r="D75" s="10" t="str">
        <x:v>/member /account/profile /member/events /member/payments /member/inquiries /member/security</x:v>
      </x:c>
      <x:c r="E75" s="10" t="str">
        <x:v>Member A / member B</x:v>
      </x:c>
      <x:c r="F75" s="10" t="str">
        <x:v>P1</x:v>
      </x:c>
      <x:c r="G75" s="10" t="str">
        <x:v>Live - tagged fixture</x:v>
      </x:c>
      <x:c r="H75" s="10" t="str">
        <x:v>Record deployed build. Use assigned test accounts, synthetic data and approved fixtures/recipients only.</x:v>
      </x:c>
      <x:c r="I75" s="10" t="str">
        <x:v>Visit dashboard with incomplete, submitted and verified QA profiles.</x:v>
      </x:c>
      <x:c r="J75" s="10" t="str">
        <x:v>Cards, status labels and next actions reflect each state accurately.</x:v>
      </x:c>
      <x:c r="K75" s="11" t="str"/>
      <x:c r="L75" s="11" t="str">
        <x:v>Not run</x:v>
      </x:c>
      <x:c r="M75" s="11" t="str"/>
      <x:c r="N75" s="11" t="str"/>
      <x:c r="O75" s="11" t="str"/>
      <x:c r="P75" s="11" t="str"/>
      <x:c r="Q75" s="11" t="str"/>
      <x:c r="R75" s="11" t="str"/>
      <x:c r="S75" s="10" t="str">
        <x:v>Browser + API + database</x:v>
      </x:c>
      <x:c r="T75" s="10" t="str">
        <x:v>Approved testing plan</x:v>
      </x:c>
      <x:c r="U75" s="10" t="str">
        <x:v>Reconcile tagged fixtures; archive/withdraw only owned test publications. Preserve audit/financial history.</x:v>
      </x:c>
      <x:c r="V75" s="12" t="str">
        <x:f>IF(A75="","",IF(L75="Not run","Pending",IF(OR(L75="Blocked",L75="Not deployed",L75="Not applicable"),IF(OR(K75="",R75=""),"Needs explanation","Recorded"),IF(OR(L75="Pass",L75="Fail"),IF(OR(K75="",M75="",P75=""),"Needs result/evidence/build","Recorded"),"Needs valid status"))))</x:f>
        <x:v>Pending</x:v>
      </x:c>
    </x:row>
    <x:row r="76" ht="38" customHeight="1">
      <x:c r="A76" s="10" t="str">
        <x:v>QA-0072</x:v>
      </x:c>
      <x:c r="B76" s="10" t="str">
        <x:v>E. Member portal</x:v>
      </x:c>
      <x:c r="C76" s="10" t="str">
        <x:v>Profile editing</x:v>
      </x:c>
      <x:c r="D76" s="10" t="str">
        <x:v>/member /account/profile /member/events /member/payments /member/inquiries /member/security</x:v>
      </x:c>
      <x:c r="E76" s="10" t="str">
        <x:v>Member A / member B</x:v>
      </x:c>
      <x:c r="F76" s="10" t="str">
        <x:v>P1</x:v>
      </x:c>
      <x:c r="G76" s="10" t="str">
        <x:v>Live - tagged fixture</x:v>
      </x:c>
      <x:c r="H76" s="10" t="str">
        <x:v>Record deployed build. Use assigned test accounts, synthetic data and approved fixtures/recipients only.</x:v>
      </x:c>
      <x:c r="I76" s="10" t="str">
        <x:v>Edit permitted profile fields and reload; inspect downstream accepted/proposed usage.</x:v>
      </x:c>
      <x:c r="J76" s="10" t="str">
        <x:v>Changes persist through intended review path; no public bypass.</x:v>
      </x:c>
      <x:c r="K76" s="11" t="str"/>
      <x:c r="L76" s="11" t="str">
        <x:v>Not run</x:v>
      </x:c>
      <x:c r="M76" s="11" t="str"/>
      <x:c r="N76" s="11" t="str"/>
      <x:c r="O76" s="11" t="str"/>
      <x:c r="P76" s="11" t="str"/>
      <x:c r="Q76" s="11" t="str"/>
      <x:c r="R76" s="11" t="str"/>
      <x:c r="S76" s="10" t="str">
        <x:v>Browser + API + database</x:v>
      </x:c>
      <x:c r="T76" s="10" t="str">
        <x:v>Approved testing plan</x:v>
      </x:c>
      <x:c r="U76" s="10" t="str">
        <x:v>Reconcile tagged fixtures; archive/withdraw only owned test publications. Preserve audit/financial history.</x:v>
      </x:c>
      <x:c r="V76" s="12" t="str">
        <x:f>IF(A76="","",IF(L76="Not run","Pending",IF(OR(L76="Blocked",L76="Not deployed",L76="Not applicable"),IF(OR(K76="",R76=""),"Needs explanation","Recorded"),IF(OR(L76="Pass",L76="Fail"),IF(OR(K76="",M76="",P76=""),"Needs result/evidence/build","Recorded"),"Needs valid status"))))</x:f>
        <x:v>Pending</x:v>
      </x:c>
    </x:row>
    <x:row r="77" ht="38" customHeight="1">
      <x:c r="A77" s="10" t="str">
        <x:v>QA-0073</x:v>
      </x:c>
      <x:c r="B77" s="10" t="str">
        <x:v>E. Member portal</x:v>
      </x:c>
      <x:c r="C77" s="10" t="str">
        <x:v>Communication preferences</x:v>
      </x:c>
      <x:c r="D77" s="10" t="str">
        <x:v>/member /account/profile /member/events /member/payments /member/inquiries /member/security</x:v>
      </x:c>
      <x:c r="E77" s="10" t="str">
        <x:v>Member A / member B</x:v>
      </x:c>
      <x:c r="F77" s="10" t="str">
        <x:v>P1</x:v>
      </x:c>
      <x:c r="G77" s="10" t="str">
        <x:v>Live - tagged fixture</x:v>
      </x:c>
      <x:c r="H77" s="10" t="str">
        <x:v>Record deployed build. Use assigned test accounts, synthetic data and approved fixtures/recipients only.</x:v>
      </x:c>
      <x:c r="I77" s="10" t="str">
        <x:v>Toggle optional contact/newsletter preferences on a QA member.</x:v>
      </x:c>
      <x:c r="J77" s="10" t="str">
        <x:v>UI, database and campaign eligibility agree.</x:v>
      </x:c>
      <x:c r="K77" s="11" t="str"/>
      <x:c r="L77" s="11" t="str">
        <x:v>Not run</x:v>
      </x:c>
      <x:c r="M77" s="11" t="str"/>
      <x:c r="N77" s="11" t="str"/>
      <x:c r="O77" s="11" t="str"/>
      <x:c r="P77" s="11" t="str"/>
      <x:c r="Q77" s="11" t="str"/>
      <x:c r="R77" s="11" t="str"/>
      <x:c r="S77" s="10" t="str">
        <x:v>Browser + API + database</x:v>
      </x:c>
      <x:c r="T77" s="10" t="str">
        <x:v>Approved testing plan</x:v>
      </x:c>
      <x:c r="U77" s="10" t="str">
        <x:v>Reconcile tagged fixtures; archive/withdraw only owned test publications. Preserve audit/financial history.</x:v>
      </x:c>
      <x:c r="V77" s="12" t="str">
        <x:f>IF(A77="","",IF(L77="Not run","Pending",IF(OR(L77="Blocked",L77="Not deployed",L77="Not applicable"),IF(OR(K77="",R77=""),"Needs explanation","Recorded"),IF(OR(L77="Pass",L77="Fail"),IF(OR(K77="",M77="",P77=""),"Needs result/evidence/build","Recorded"),"Needs valid status"))))</x:f>
        <x:v>Pending</x:v>
      </x:c>
    </x:row>
    <x:row r="78" ht="38" customHeight="1">
      <x:c r="A78" s="10" t="str">
        <x:v>QA-0074</x:v>
      </x:c>
      <x:c r="B78" s="10" t="str">
        <x:v>E. Member portal</x:v>
      </x:c>
      <x:c r="C78" s="10" t="str">
        <x:v>Portrait review</x:v>
      </x:c>
      <x:c r="D78" s="10" t="str">
        <x:v>/member /account/profile /member/events /member/payments /member/inquiries /member/security</x:v>
      </x:c>
      <x:c r="E78" s="10" t="str">
        <x:v>Member A / member B</x:v>
      </x:c>
      <x:c r="F78" s="10" t="str">
        <x:v>P1</x:v>
      </x:c>
      <x:c r="G78" s="10" t="str">
        <x:v>Live - tagged fixture</x:v>
      </x:c>
      <x:c r="H78" s="10" t="str">
        <x:v>Record deployed build. Use assigned test accounts, synthetic data and approved fixtures/recipients only.</x:v>
      </x:c>
      <x:c r="I78" s="10" t="str">
        <x:v>Replace QA portrait through member flow and inspect public/accepted states.</x:v>
      </x:c>
      <x:c r="J78" s="10" t="str">
        <x:v>Review/publication boundaries and private evidence remain distinct.</x:v>
      </x:c>
      <x:c r="K78" s="11" t="str"/>
      <x:c r="L78" s="11" t="str">
        <x:v>Not run</x:v>
      </x:c>
      <x:c r="M78" s="11" t="str"/>
      <x:c r="N78" s="11" t="str"/>
      <x:c r="O78" s="11" t="str"/>
      <x:c r="P78" s="11" t="str"/>
      <x:c r="Q78" s="11" t="str"/>
      <x:c r="R78" s="11" t="str"/>
      <x:c r="S78" s="10" t="str">
        <x:v>Browser + API + database</x:v>
      </x:c>
      <x:c r="T78" s="10" t="str">
        <x:v>Approved testing plan</x:v>
      </x:c>
      <x:c r="U78" s="10" t="str">
        <x:v>Reconcile tagged fixtures; archive/withdraw only owned test publications. Preserve audit/financial history.</x:v>
      </x:c>
      <x:c r="V78" s="12" t="str">
        <x:f>IF(A78="","",IF(L78="Not run","Pending",IF(OR(L78="Blocked",L78="Not deployed",L78="Not applicable"),IF(OR(K78="",R78=""),"Needs explanation","Recorded"),IF(OR(L78="Pass",L78="Fail"),IF(OR(K78="",M78="",P78=""),"Needs result/evidence/build","Recorded"),"Needs valid status"))))</x:f>
        <x:v>Pending</x:v>
      </x:c>
    </x:row>
    <x:row r="79" ht="38" customHeight="1">
      <x:c r="A79" s="10" t="str">
        <x:v>QA-0075</x:v>
      </x:c>
      <x:c r="B79" s="10" t="str">
        <x:v>E. Member portal</x:v>
      </x:c>
      <x:c r="C79" s="10" t="str">
        <x:v>Member navigation</x:v>
      </x:c>
      <x:c r="D79" s="10" t="str">
        <x:v>/member /account/profile /member/events /member/payments /member/inquiries /member/security</x:v>
      </x:c>
      <x:c r="E79" s="10" t="str">
        <x:v>Member A / member B</x:v>
      </x:c>
      <x:c r="F79" s="10" t="str">
        <x:v>P1</x:v>
      </x:c>
      <x:c r="G79" s="10" t="str">
        <x:v>Live - tagged fixture</x:v>
      </x:c>
      <x:c r="H79" s="10" t="str">
        <x:v>Record deployed build. Use assigned test accounts, synthetic data and approved fixtures/recipients only.</x:v>
      </x:c>
      <x:c r="I79" s="10" t="str">
        <x:v>Follow every member section and return path, including account/security.</x:v>
      </x:c>
      <x:c r="J79" s="10" t="str">
        <x:v>No dead ends or stale selected section; correct identity remains visible.</x:v>
      </x:c>
      <x:c r="K79" s="11" t="str"/>
      <x:c r="L79" s="11" t="str">
        <x:v>Not run</x:v>
      </x:c>
      <x:c r="M79" s="11" t="str"/>
      <x:c r="N79" s="11" t="str"/>
      <x:c r="O79" s="11" t="str"/>
      <x:c r="P79" s="11" t="str"/>
      <x:c r="Q79" s="11" t="str"/>
      <x:c r="R79" s="11" t="str"/>
      <x:c r="S79" s="10" t="str">
        <x:v>Browser + API + database</x:v>
      </x:c>
      <x:c r="T79" s="10" t="str">
        <x:v>Approved testing plan</x:v>
      </x:c>
      <x:c r="U79" s="10" t="str">
        <x:v>Reconcile tagged fixtures; archive/withdraw only owned test publications. Preserve audit/financial history.</x:v>
      </x:c>
      <x:c r="V79" s="12" t="str">
        <x:f>IF(A79="","",IF(L79="Not run","Pending",IF(OR(L79="Blocked",L79="Not deployed",L79="Not applicable"),IF(OR(K79="",R79=""),"Needs explanation","Recorded"),IF(OR(L79="Pass",L79="Fail"),IF(OR(K79="",M79="",P79=""),"Needs result/evidence/build","Recorded"),"Needs valid status"))))</x:f>
        <x:v>Pending</x:v>
      </x:c>
    </x:row>
    <x:row r="80" ht="38" customHeight="1">
      <x:c r="A80" s="10" t="str">
        <x:v>QA-0076</x:v>
      </x:c>
      <x:c r="B80" s="10" t="str">
        <x:v>E. Member portal</x:v>
      </x:c>
      <x:c r="C80" s="10" t="str">
        <x:v>Own event history</x:v>
      </x:c>
      <x:c r="D80" s="10" t="str">
        <x:v>/member /account/profile /member/events /member/payments /member/inquiries /member/security</x:v>
      </x:c>
      <x:c r="E80" s="10" t="str">
        <x:v>Member A / member B</x:v>
      </x:c>
      <x:c r="F80" s="10" t="str">
        <x:v>P1</x:v>
      </x:c>
      <x:c r="G80" s="10" t="str">
        <x:v>Live - tagged fixture</x:v>
      </x:c>
      <x:c r="H80" s="10" t="str">
        <x:v>Record deployed build. Use assigned test accounts, synthetic data and approved fixtures/recipients only.</x:v>
      </x:c>
      <x:c r="I80" s="10" t="str">
        <x:v>Compare upcoming/past events and selected-event continuation with QA registration records.</x:v>
      </x:c>
      <x:c r="J80" s="10" t="str">
        <x:v>Correct ordering, status and booking details for current member.</x:v>
      </x:c>
      <x:c r="K80" s="11" t="str"/>
      <x:c r="L80" s="11" t="str">
        <x:v>Not run</x:v>
      </x:c>
      <x:c r="M80" s="11" t="str"/>
      <x:c r="N80" s="11" t="str"/>
      <x:c r="O80" s="11" t="str"/>
      <x:c r="P80" s="11" t="str"/>
      <x:c r="Q80" s="11" t="str"/>
      <x:c r="R80" s="11" t="str"/>
      <x:c r="S80" s="10" t="str">
        <x:v>Browser + API + database</x:v>
      </x:c>
      <x:c r="T80" s="10" t="str">
        <x:v>Approved testing plan</x:v>
      </x:c>
      <x:c r="U80" s="10" t="str">
        <x:v>Reconcile tagged fixtures; archive/withdraw only owned test publications. Preserve audit/financial history.</x:v>
      </x:c>
      <x:c r="V80" s="12" t="str">
        <x:f>IF(A80="","",IF(L80="Not run","Pending",IF(OR(L80="Blocked",L80="Not deployed",L80="Not applicable"),IF(OR(K80="",R80=""),"Needs explanation","Recorded"),IF(OR(L80="Pass",L80="Fail"),IF(OR(K80="",M80="",P80=""),"Needs result/evidence/build","Recorded"),"Needs valid status"))))</x:f>
        <x:v>Pending</x:v>
      </x:c>
    </x:row>
    <x:row r="81" ht="38" customHeight="1">
      <x:c r="A81" s="10" t="str">
        <x:v>QA-0077</x:v>
      </x:c>
      <x:c r="B81" s="10" t="str">
        <x:v>E. Member portal</x:v>
      </x:c>
      <x:c r="C81" s="10" t="str">
        <x:v>Own payment history</x:v>
      </x:c>
      <x:c r="D81" s="10" t="str">
        <x:v>/member /account/profile /member/events /member/payments /member/inquiries /member/security</x:v>
      </x:c>
      <x:c r="E81" s="10" t="str">
        <x:v>Member A / member B</x:v>
      </x:c>
      <x:c r="F81" s="10" t="str">
        <x:v>P1</x:v>
      </x:c>
      <x:c r="G81" s="10" t="str">
        <x:v>Live - tagged fixture</x:v>
      </x:c>
      <x:c r="H81" s="10" t="str">
        <x:v>Record deployed build. Use assigned test accounts, synthetic data and approved fixtures/recipients only.</x:v>
      </x:c>
      <x:c r="I81" s="10" t="str">
        <x:v>Compare displayed payments/refunds with append-only QA transitions.</x:v>
      </x:c>
      <x:c r="J81" s="10" t="str">
        <x:v>Amounts and states match; no unsupported transfer claim.</x:v>
      </x:c>
      <x:c r="K81" s="11" t="str"/>
      <x:c r="L81" s="11" t="str">
        <x:v>Not run</x:v>
      </x:c>
      <x:c r="M81" s="11" t="str"/>
      <x:c r="N81" s="11" t="str"/>
      <x:c r="O81" s="11" t="str"/>
      <x:c r="P81" s="11" t="str"/>
      <x:c r="Q81" s="11" t="str"/>
      <x:c r="R81" s="11" t="str"/>
      <x:c r="S81" s="10" t="str">
        <x:v>Browser + API + database</x:v>
      </x:c>
      <x:c r="T81" s="10" t="str">
        <x:v>Approved testing plan</x:v>
      </x:c>
      <x:c r="U81" s="10" t="str">
        <x:v>Reconcile tagged fixtures; archive/withdraw only owned test publications. Preserve audit/financial history.</x:v>
      </x:c>
      <x:c r="V81" s="12" t="str">
        <x:f>IF(A81="","",IF(L81="Not run","Pending",IF(OR(L81="Blocked",L81="Not deployed",L81="Not applicable"),IF(OR(K81="",R81=""),"Needs explanation","Recorded"),IF(OR(L81="Pass",L81="Fail"),IF(OR(K81="",M81="",P81=""),"Needs result/evidence/build","Recorded"),"Needs valid status"))))</x:f>
        <x:v>Pending</x:v>
      </x:c>
    </x:row>
    <x:row r="82" ht="38" customHeight="1">
      <x:c r="A82" s="10" t="str">
        <x:v>QA-0078</x:v>
      </x:c>
      <x:c r="B82" s="10" t="str">
        <x:v>E. Member portal</x:v>
      </x:c>
      <x:c r="C82" s="10" t="str">
        <x:v>Own inquiries</x:v>
      </x:c>
      <x:c r="D82" s="10" t="str">
        <x:v>/member /account/profile /member/events /member/payments /member/inquiries /member/security</x:v>
      </x:c>
      <x:c r="E82" s="10" t="str">
        <x:v>Member A / member B</x:v>
      </x:c>
      <x:c r="F82" s="10" t="str">
        <x:v>P1</x:v>
      </x:c>
      <x:c r="G82" s="10" t="str">
        <x:v>Live - tagged fixture</x:v>
      </x:c>
      <x:c r="H82" s="10" t="str">
        <x:v>Record deployed build. Use assigned test accounts, synthetic data and approved fixtures/recipients only.</x:v>
      </x:c>
      <x:c r="I82" s="10" t="str">
        <x:v>Create/view QA inquiry and compare with CRM record.</x:v>
      </x:c>
      <x:c r="J82" s="10" t="str">
        <x:v>Only own inquiry data appears with permitted status details.</x:v>
      </x:c>
      <x:c r="K82" s="11" t="str"/>
      <x:c r="L82" s="11" t="str">
        <x:v>Not run</x:v>
      </x:c>
      <x:c r="M82" s="11" t="str"/>
      <x:c r="N82" s="11" t="str"/>
      <x:c r="O82" s="11" t="str"/>
      <x:c r="P82" s="11" t="str"/>
      <x:c r="Q82" s="11" t="str"/>
      <x:c r="R82" s="11" t="str"/>
      <x:c r="S82" s="10" t="str">
        <x:v>Browser + API + database</x:v>
      </x:c>
      <x:c r="T82" s="10" t="str">
        <x:v>Approved testing plan</x:v>
      </x:c>
      <x:c r="U82" s="10" t="str">
        <x:v>Reconcile tagged fixtures; archive/withdraw only owned test publications. Preserve audit/financial history.</x:v>
      </x:c>
      <x:c r="V82" s="12" t="str">
        <x:f>IF(A82="","",IF(L82="Not run","Pending",IF(OR(L82="Blocked",L82="Not deployed",L82="Not applicable"),IF(OR(K82="",R82=""),"Needs explanation","Recorded"),IF(OR(L82="Pass",L82="Fail"),IF(OR(K82="",M82="",P82=""),"Needs result/evidence/build","Recorded"),"Needs valid status"))))</x:f>
        <x:v>Pending</x:v>
      </x:c>
    </x:row>
    <x:row r="83" ht="38" customHeight="1">
      <x:c r="A83" s="10" t="str">
        <x:v>QA-0079</x:v>
      </x:c>
      <x:c r="B83" s="10" t="str">
        <x:v>E. Member portal</x:v>
      </x:c>
      <x:c r="C83" s="10" t="str">
        <x:v>Cross-member access</x:v>
      </x:c>
      <x:c r="D83" s="10" t="str">
        <x:v>/member /account/profile /member/events /member/payments /member/inquiries /member/security</x:v>
      </x:c>
      <x:c r="E83" s="10" t="str">
        <x:v>Member A / member B</x:v>
      </x:c>
      <x:c r="F83" s="10" t="str">
        <x:v>P0</x:v>
      </x:c>
      <x:c r="G83" s="10" t="str">
        <x:v>Live - tagged fixture</x:v>
      </x:c>
      <x:c r="H83" s="10" t="str">
        <x:v>Record deployed build. Use assigned test accounts, synthetic data and approved fixtures/recipients only.</x:v>
      </x:c>
      <x:c r="I83" s="10" t="str">
        <x:v>Attempt A-owned event journey, inquiry, payment and document requests as B.</x:v>
      </x:c>
      <x:c r="J83" s="10" t="str">
        <x:v>No other-account records or private resources are exposed.</x:v>
      </x:c>
      <x:c r="K83" s="11" t="str"/>
      <x:c r="L83" s="11" t="str">
        <x:v>Not run</x:v>
      </x:c>
      <x:c r="M83" s="11" t="str"/>
      <x:c r="N83" s="11" t="str"/>
      <x:c r="O83" s="11" t="str"/>
      <x:c r="P83" s="11" t="str"/>
      <x:c r="Q83" s="11" t="str"/>
      <x:c r="R83" s="11" t="str"/>
      <x:c r="S83" s="10" t="str">
        <x:v>Browser + API + database</x:v>
      </x:c>
      <x:c r="T83" s="10" t="str">
        <x:v>Approved testing plan</x:v>
      </x:c>
      <x:c r="U83" s="10" t="str">
        <x:v>Reconcile tagged fixtures; archive/withdraw only owned test publications. Preserve audit/financial history.</x:v>
      </x:c>
      <x:c r="V83" s="12" t="str">
        <x:f>IF(A83="","",IF(L83="Not run","Pending",IF(OR(L83="Blocked",L83="Not deployed",L83="Not applicable"),IF(OR(K83="",R83=""),"Needs explanation","Recorded"),IF(OR(L83="Pass",L83="Fail"),IF(OR(K83="",M83="",P83=""),"Needs result/evidence/build","Recorded"),"Needs valid status"))))</x:f>
        <x:v>Pending</x:v>
      </x:c>
    </x:row>
    <x:row r="84" ht="38" customHeight="1">
      <x:c r="A84" s="10" t="str">
        <x:v>QA-0080</x:v>
      </x:c>
      <x:c r="B84" s="10" t="str">
        <x:v>E. Member portal</x:v>
      </x:c>
      <x:c r="C84" s="10" t="str">
        <x:v>Badge and perk projection</x:v>
      </x:c>
      <x:c r="D84" s="10" t="str">
        <x:v>/member /account/profile /member/events /member/payments /member/inquiries /member/security</x:v>
      </x:c>
      <x:c r="E84" s="10" t="str">
        <x:v>Member A / member B</x:v>
      </x:c>
      <x:c r="F84" s="10" t="str">
        <x:v>P1</x:v>
      </x:c>
      <x:c r="G84" s="10" t="str">
        <x:v>Live - tagged fixture</x:v>
      </x:c>
      <x:c r="H84" s="10" t="str">
        <x:v>Record deployed build. Use assigned test accounts, synthetic data and approved fixtures/recipients only.</x:v>
      </x:c>
      <x:c r="I84" s="10" t="str">
        <x:v>Compare member journey to recorded attendance and active entitlements.</x:v>
      </x:c>
      <x:c r="J84" s="10" t="str">
        <x:v>Only evidenced eligible milestones/perks appear.</x:v>
      </x:c>
      <x:c r="K84" s="11" t="str"/>
      <x:c r="L84" s="11" t="str">
        <x:v>Not run</x:v>
      </x:c>
      <x:c r="M84" s="11" t="str"/>
      <x:c r="N84" s="11" t="str"/>
      <x:c r="O84" s="11" t="str"/>
      <x:c r="P84" s="11" t="str"/>
      <x:c r="Q84" s="11" t="str"/>
      <x:c r="R84" s="11" t="str"/>
      <x:c r="S84" s="10" t="str">
        <x:v>Browser + API + database</x:v>
      </x:c>
      <x:c r="T84" s="10" t="str">
        <x:v>Approved testing plan</x:v>
      </x:c>
      <x:c r="U84" s="10" t="str">
        <x:v>Reconcile tagged fixtures; archive/withdraw only owned test publications. Preserve audit/financial history.</x:v>
      </x:c>
      <x:c r="V84" s="12" t="str">
        <x:f>IF(A84="","",IF(L84="Not run","Pending",IF(OR(L84="Blocked",L84="Not deployed",L84="Not applicable"),IF(OR(K84="",R84=""),"Needs explanation","Recorded"),IF(OR(L84="Pass",L84="Fail"),IF(OR(K84="",M84="",P84=""),"Needs result/evidence/build","Recorded"),"Needs valid status"))))</x:f>
        <x:v>Pending</x:v>
      </x:c>
    </x:row>
    <x:row r="85" ht="38" customHeight="1">
      <x:c r="A85" s="10" t="str">
        <x:v>QA-0081</x:v>
      </x:c>
      <x:c r="B85" s="10" t="str">
        <x:v>E. Member portal</x:v>
      </x:c>
      <x:c r="C85" s="10" t="str">
        <x:v>Membership and renewal policy</x:v>
      </x:c>
      <x:c r="D85" s="10" t="str">
        <x:v>/member /account/profile /member/events /member/payments /member/inquiries /member/security</x:v>
      </x:c>
      <x:c r="E85" s="10" t="str">
        <x:v>Member A / member B</x:v>
      </x:c>
      <x:c r="F85" s="10" t="str">
        <x:v>P1</x:v>
      </x:c>
      <x:c r="G85" s="10" t="str">
        <x:v>Live - tagged fixture</x:v>
      </x:c>
      <x:c r="H85" s="10" t="str">
        <x:v>Record deployed build. Use assigned test accounts, synthetic data and approved fixtures/recipients only.</x:v>
      </x:c>
      <x:c r="I85" s="10" t="str">
        <x:v>Compare displayed plan/renewal/benefit actions against approved enabled policy.</x:v>
      </x:c>
      <x:c r="J85" s="10" t="str">
        <x:v>No invented entitlement or successful renewal; unavailable policy is Blocked/Not applicable with reason.</x:v>
      </x:c>
      <x:c r="K85" s="11" t="str"/>
      <x:c r="L85" s="11" t="str">
        <x:v>Not run</x:v>
      </x:c>
      <x:c r="M85" s="11" t="str"/>
      <x:c r="N85" s="11" t="str"/>
      <x:c r="O85" s="11" t="str"/>
      <x:c r="P85" s="11" t="str"/>
      <x:c r="Q85" s="11" t="str"/>
      <x:c r="R85" s="11" t="str"/>
      <x:c r="S85" s="10" t="str">
        <x:v>Browser + API + database</x:v>
      </x:c>
      <x:c r="T85" s="10" t="str">
        <x:v>Approved testing plan</x:v>
      </x:c>
      <x:c r="U85" s="10" t="str">
        <x:v>Reconcile tagged fixtures; archive/withdraw only owned test publications. Preserve audit/financial history.</x:v>
      </x:c>
      <x:c r="V85" s="12" t="str">
        <x:f>IF(A85="","",IF(L85="Not run","Pending",IF(OR(L85="Blocked",L85="Not deployed",L85="Not applicable"),IF(OR(K85="",R85=""),"Needs explanation","Recorded"),IF(OR(L85="Pass",L85="Fail"),IF(OR(K85="",M85="",P85=""),"Needs result/evidence/build","Recorded"),"Needs valid status"))))</x:f>
        <x:v>Pending</x:v>
      </x:c>
    </x:row>
    <x:row r="86" ht="38" customHeight="1">
      <x:c r="A86" s="10" t="str">
        <x:v>QA-0082</x:v>
      </x:c>
      <x:c r="B86" s="10" t="str">
        <x:v>F. CRM and inquiries</x:v>
      </x:c>
      <x:c r="C86" s="10" t="str">
        <x:v>Public inquiry intake</x:v>
      </x:c>
      <x:c r="D86" s="10" t="str">
        <x:v>/contact /member/inquiries /admin/workspaces/crm</x:v>
      </x:c>
      <x:c r="E86" s="10" t="str">
        <x:v>Anonymous / member / communications_operator</x:v>
      </x:c>
      <x:c r="F86" s="10" t="str">
        <x:v>P1</x:v>
      </x:c>
      <x:c r="G86" s="10" t="str">
        <x:v>Live - tagged fixture</x:v>
      </x:c>
      <x:c r="H86" s="10" t="str">
        <x:v>Record deployed build. Use assigned test accounts, synthetic data and approved fixtures/recipients only.</x:v>
      </x:c>
      <x:c r="I86" s="10" t="str">
        <x:v>Submit one tagged contact inquiry with chosen consent options.</x:v>
      </x:c>
      <x:c r="J86" s="10" t="str">
        <x:v>Correct contact/provenance stored; clear receipt without account/subscription creation.</x:v>
      </x:c>
      <x:c r="K86" s="11" t="str"/>
      <x:c r="L86" s="11" t="str">
        <x:v>Not run</x:v>
      </x:c>
      <x:c r="M86" s="11" t="str"/>
      <x:c r="N86" s="11" t="str"/>
      <x:c r="O86" s="11" t="str"/>
      <x:c r="P86" s="11" t="str"/>
      <x:c r="Q86" s="11" t="str"/>
      <x:c r="R86" s="11" t="str"/>
      <x:c r="S86" s="10" t="str">
        <x:v>Browser + API + database</x:v>
      </x:c>
      <x:c r="T86" s="10" t="str">
        <x:v>Approved testing plan</x:v>
      </x:c>
      <x:c r="U86" s="10" t="str">
        <x:v>Reconcile tagged fixtures; archive/withdraw only owned test publications. Preserve audit/financial history.</x:v>
      </x:c>
      <x:c r="V86" s="12" t="str">
        <x:f>IF(A86="","",IF(L86="Not run","Pending",IF(OR(L86="Blocked",L86="Not deployed",L86="Not applicable"),IF(OR(K86="",R86=""),"Needs explanation","Recorded"),IF(OR(L86="Pass",L86="Fail"),IF(OR(K86="",M86="",P86=""),"Needs result/evidence/build","Recorded"),"Needs valid status"))))</x:f>
        <x:v>Pending</x:v>
      </x:c>
    </x:row>
    <x:row r="87" ht="38" customHeight="1">
      <x:c r="A87" s="10" t="str">
        <x:v>QA-0083</x:v>
      </x:c>
      <x:c r="B87" s="10" t="str">
        <x:v>F. CRM and inquiries</x:v>
      </x:c>
      <x:c r="C87" s="10" t="str">
        <x:v>Member inquiry intake</x:v>
      </x:c>
      <x:c r="D87" s="10" t="str">
        <x:v>/contact /member/inquiries /admin/workspaces/crm</x:v>
      </x:c>
      <x:c r="E87" s="10" t="str">
        <x:v>Anonymous / member / communications_operator</x:v>
      </x:c>
      <x:c r="F87" s="10" t="str">
        <x:v>P1</x:v>
      </x:c>
      <x:c r="G87" s="10" t="str">
        <x:v>Live - tagged fixture</x:v>
      </x:c>
      <x:c r="H87" s="10" t="str">
        <x:v>Record deployed build. Use assigned test accounts, synthetic data and approved fixtures/recipients only.</x:v>
      </x:c>
      <x:c r="I87" s="10" t="str">
        <x:v>Submit a tagged inquiry while signed in.</x:v>
      </x:c>
      <x:c r="J87" s="10" t="str">
        <x:v>Correct account linkage and private staff/member views.</x:v>
      </x:c>
      <x:c r="K87" s="11" t="str"/>
      <x:c r="L87" s="11" t="str">
        <x:v>Not run</x:v>
      </x:c>
      <x:c r="M87" s="11" t="str"/>
      <x:c r="N87" s="11" t="str"/>
      <x:c r="O87" s="11" t="str"/>
      <x:c r="P87" s="11" t="str"/>
      <x:c r="Q87" s="11" t="str"/>
      <x:c r="R87" s="11" t="str"/>
      <x:c r="S87" s="10" t="str">
        <x:v>Browser + API + database</x:v>
      </x:c>
      <x:c r="T87" s="10" t="str">
        <x:v>Approved testing plan</x:v>
      </x:c>
      <x:c r="U87" s="10" t="str">
        <x:v>Reconcile tagged fixtures; archive/withdraw only owned test publications. Preserve audit/financial history.</x:v>
      </x:c>
      <x:c r="V87" s="12" t="str">
        <x:f>IF(A87="","",IF(L87="Not run","Pending",IF(OR(L87="Blocked",L87="Not deployed",L87="Not applicable"),IF(OR(K87="",R87=""),"Needs explanation","Recorded"),IF(OR(L87="Pass",L87="Fail"),IF(OR(K87="",M87="",P87=""),"Needs result/evidence/build","Recorded"),"Needs valid status"))))</x:f>
        <x:v>Pending</x:v>
      </x:c>
    </x:row>
    <x:row r="88" ht="38" customHeight="1">
      <x:c r="A88" s="10" t="str">
        <x:v>QA-0084</x:v>
      </x:c>
      <x:c r="B88" s="10" t="str">
        <x:v>F. CRM and inquiries</x:v>
      </x:c>
      <x:c r="C88" s="10" t="str">
        <x:v>Inquiry validation</x:v>
      </x:c>
      <x:c r="D88" s="10" t="str">
        <x:v>/contact /member/inquiries /admin/workspaces/crm</x:v>
      </x:c>
      <x:c r="E88" s="10" t="str">
        <x:v>Anonymous / member / communications_operator</x:v>
      </x:c>
      <x:c r="F88" s="10" t="str">
        <x:v>P1</x:v>
      </x:c>
      <x:c r="G88" s="10" t="str">
        <x:v>Live - tagged fixture</x:v>
      </x:c>
      <x:c r="H88" s="10" t="str">
        <x:v>Record deployed build. Use assigned test accounts, synthetic data and approved fixtures/recipients only.</x:v>
      </x:c>
      <x:c r="I88" s="10" t="str">
        <x:v>Submit missing consent/required details and invalid contact data using fixtures.</x:v>
      </x:c>
      <x:c r="J88" s="10" t="str">
        <x:v>Clear validation; no malformed inquiry accepted.</x:v>
      </x:c>
      <x:c r="K88" s="11" t="str"/>
      <x:c r="L88" s="11" t="str">
        <x:v>Not run</x:v>
      </x:c>
      <x:c r="M88" s="11" t="str"/>
      <x:c r="N88" s="11" t="str"/>
      <x:c r="O88" s="11" t="str"/>
      <x:c r="P88" s="11" t="str"/>
      <x:c r="Q88" s="11" t="str"/>
      <x:c r="R88" s="11" t="str"/>
      <x:c r="S88" s="10" t="str">
        <x:v>Browser + API + database</x:v>
      </x:c>
      <x:c r="T88" s="10" t="str">
        <x:v>Approved testing plan</x:v>
      </x:c>
      <x:c r="U88" s="10" t="str">
        <x:v>Reconcile tagged fixtures; archive/withdraw only owned test publications. Preserve audit/financial history.</x:v>
      </x:c>
      <x:c r="V88" s="12" t="str">
        <x:f>IF(A88="","",IF(L88="Not run","Pending",IF(OR(L88="Blocked",L88="Not deployed",L88="Not applicable"),IF(OR(K88="",R88=""),"Needs explanation","Recorded"),IF(OR(L88="Pass",L88="Fail"),IF(OR(K88="",M88="",P88=""),"Needs result/evidence/build","Recorded"),"Needs valid status"))))</x:f>
        <x:v>Pending</x:v>
      </x:c>
    </x:row>
    <x:row r="89" ht="38" customHeight="1">
      <x:c r="A89" s="10" t="str">
        <x:v>QA-0085</x:v>
      </x:c>
      <x:c r="B89" s="10" t="str">
        <x:v>F. CRM and inquiries</x:v>
      </x:c>
      <x:c r="C89" s="10" t="str">
        <x:v>Inquiry retry</x:v>
      </x:c>
      <x:c r="D89" s="10" t="str">
        <x:v>/contact /member/inquiries /admin/workspaces/crm</x:v>
      </x:c>
      <x:c r="E89" s="10" t="str">
        <x:v>Anonymous / member / communications_operator</x:v>
      </x:c>
      <x:c r="F89" s="10" t="str">
        <x:v>P1</x:v>
      </x:c>
      <x:c r="G89" s="10" t="str">
        <x:v>Live - tagged fixture</x:v>
      </x:c>
      <x:c r="H89" s="10" t="str">
        <x:v>Record deployed build. Use assigned test accounts, synthetic data and approved fixtures/recipients only.</x:v>
      </x:c>
      <x:c r="I89" s="10" t="str">
        <x:v>Retry one identical tagged submission after uncertain response.</x:v>
      </x:c>
      <x:c r="J89" s="10" t="str">
        <x:v>Idempotency follows contract; no unintended duplicates.</x:v>
      </x:c>
      <x:c r="K89" s="11" t="str"/>
      <x:c r="L89" s="11" t="str">
        <x:v>Not run</x:v>
      </x:c>
      <x:c r="M89" s="11" t="str"/>
      <x:c r="N89" s="11" t="str"/>
      <x:c r="O89" s="11" t="str"/>
      <x:c r="P89" s="11" t="str"/>
      <x:c r="Q89" s="11" t="str"/>
      <x:c r="R89" s="11" t="str"/>
      <x:c r="S89" s="10" t="str">
        <x:v>Browser + API + database</x:v>
      </x:c>
      <x:c r="T89" s="10" t="str">
        <x:v>Approved testing plan</x:v>
      </x:c>
      <x:c r="U89" s="10" t="str">
        <x:v>Reconcile tagged fixtures; archive/withdraw only owned test publications. Preserve audit/financial history.</x:v>
      </x:c>
      <x:c r="V89" s="12" t="str">
        <x:f>IF(A89="","",IF(L89="Not run","Pending",IF(OR(L89="Blocked",L89="Not deployed",L89="Not applicable"),IF(OR(K89="",R89=""),"Needs explanation","Recorded"),IF(OR(L89="Pass",L89="Fail"),IF(OR(K89="",M89="",P89=""),"Needs result/evidence/build","Recorded"),"Needs valid status"))))</x:f>
        <x:v>Pending</x:v>
      </x:c>
    </x:row>
    <x:row r="90" ht="38" customHeight="1">
      <x:c r="A90" s="10" t="str">
        <x:v>QA-0086</x:v>
      </x:c>
      <x:c r="B90" s="10" t="str">
        <x:v>F. CRM and inquiries</x:v>
      </x:c>
      <x:c r="C90" s="10" t="str">
        <x:v>Anti-abuse intake</x:v>
      </x:c>
      <x:c r="D90" s="10" t="str">
        <x:v>/contact /member/inquiries /admin/workspaces/crm</x:v>
      </x:c>
      <x:c r="E90" s="10" t="str">
        <x:v>Anonymous / member / communications_operator</x:v>
      </x:c>
      <x:c r="F90" s="10" t="str">
        <x:v>P1</x:v>
      </x:c>
      <x:c r="G90" s="10" t="str">
        <x:v>Isolated only</x:v>
      </x:c>
      <x:c r="H90" s="10" t="str">
        <x:v>Record deployed build. Use assigned test accounts, synthetic data and approved fixtures/recipients only.</x:v>
      </x:c>
      <x:c r="I90" s="10" t="str">
        <x:v>Exercise honeypot, quotas and request boundaries in isolation.</x:v>
      </x:c>
      <x:c r="J90" s="10" t="str">
        <x:v>Rejected abusive requests do not create records or affect legitimate identities.</x:v>
      </x:c>
      <x:c r="K90" s="11" t="str"/>
      <x:c r="L90" s="11" t="str">
        <x:v>Not run</x:v>
      </x:c>
      <x:c r="M90" s="11" t="str"/>
      <x:c r="N90" s="11" t="str"/>
      <x:c r="O90" s="11" t="str"/>
      <x:c r="P90" s="11" t="str"/>
      <x:c r="Q90" s="11" t="str"/>
      <x:c r="R90" s="11" t="str"/>
      <x:c r="S90" s="10" t="str">
        <x:v>Browser + API + database</x:v>
      </x:c>
      <x:c r="T90" s="10" t="str">
        <x:v>Approved testing plan</x:v>
      </x:c>
      <x:c r="U90" s="10" t="str">
        <x:v>Reconcile tagged fixtures; archive/withdraw only owned test publications. Preserve audit/financial history.</x:v>
      </x:c>
      <x:c r="V90" s="12" t="str">
        <x:f>IF(A90="","",IF(L90="Not run","Pending",IF(OR(L90="Blocked",L90="Not deployed",L90="Not applicable"),IF(OR(K90="",R90=""),"Needs explanation","Recorded"),IF(OR(L90="Pass",L90="Fail"),IF(OR(K90="",M90="",P90=""),"Needs result/evidence/build","Recorded"),"Needs valid status"))))</x:f>
        <x:v>Pending</x:v>
      </x:c>
    </x:row>
    <x:row r="91" ht="38" customHeight="1">
      <x:c r="A91" s="10" t="str">
        <x:v>QA-0087</x:v>
      </x:c>
      <x:c r="B91" s="10" t="str">
        <x:v>F. CRM and inquiries</x:v>
      </x:c>
      <x:c r="C91" s="10" t="str">
        <x:v>Inquiry search</x:v>
      </x:c>
      <x:c r="D91" s="10" t="str">
        <x:v>/contact /member/inquiries /admin/workspaces/crm</x:v>
      </x:c>
      <x:c r="E91" s="10" t="str">
        <x:v>Anonymous / member / communications_operator</x:v>
      </x:c>
      <x:c r="F91" s="10" t="str">
        <x:v>P1</x:v>
      </x:c>
      <x:c r="G91" s="10" t="str">
        <x:v>Live - tagged fixture</x:v>
      </x:c>
      <x:c r="H91" s="10" t="str">
        <x:v>Record deployed build. Use assigned test accounts, synthetic data and approved fixtures/recipients only.</x:v>
      </x:c>
      <x:c r="I91" s="10" t="str">
        <x:v>Search exact/partial QA contact/name text and clear filters.</x:v>
      </x:c>
      <x:c r="J91" s="10" t="str">
        <x:v>Correct matching records and reset behavior.</x:v>
      </x:c>
      <x:c r="K91" s="11" t="str"/>
      <x:c r="L91" s="11" t="str">
        <x:v>Not run</x:v>
      </x:c>
      <x:c r="M91" s="11" t="str"/>
      <x:c r="N91" s="11" t="str"/>
      <x:c r="O91" s="11" t="str"/>
      <x:c r="P91" s="11" t="str"/>
      <x:c r="Q91" s="11" t="str"/>
      <x:c r="R91" s="11" t="str"/>
      <x:c r="S91" s="10" t="str">
        <x:v>Browser + API + database</x:v>
      </x:c>
      <x:c r="T91" s="10" t="str">
        <x:v>Approved testing plan</x:v>
      </x:c>
      <x:c r="U91" s="10" t="str">
        <x:v>Reconcile tagged fixtures; archive/withdraw only owned test publications. Preserve audit/financial history.</x:v>
      </x:c>
      <x:c r="V91" s="12" t="str">
        <x:f>IF(A91="","",IF(L91="Not run","Pending",IF(OR(L91="Blocked",L91="Not deployed",L91="Not applicable"),IF(OR(K91="",R91=""),"Needs explanation","Recorded"),IF(OR(L91="Pass",L91="Fail"),IF(OR(K91="",M91="",P91=""),"Needs result/evidence/build","Recorded"),"Needs valid status"))))</x:f>
        <x:v>Pending</x:v>
      </x:c>
    </x:row>
    <x:row r="92" ht="38" customHeight="1">
      <x:c r="A92" s="10" t="str">
        <x:v>QA-0088</x:v>
      </x:c>
      <x:c r="B92" s="10" t="str">
        <x:v>F. CRM and inquiries</x:v>
      </x:c>
      <x:c r="C92" s="10" t="str">
        <x:v>Inquiry filters and pagination</x:v>
      </x:c>
      <x:c r="D92" s="10" t="str">
        <x:v>/contact /member/inquiries /admin/workspaces/crm</x:v>
      </x:c>
      <x:c r="E92" s="10" t="str">
        <x:v>Anonymous / member / communications_operator</x:v>
      </x:c>
      <x:c r="F92" s="10" t="str">
        <x:v>P1</x:v>
      </x:c>
      <x:c r="G92" s="10" t="str">
        <x:v>Live - tagged fixture</x:v>
      </x:c>
      <x:c r="H92" s="10" t="str">
        <x:v>Record deployed build. Use assigned test accounts, synthetic data and approved fixtures/recipients only.</x:v>
      </x:c>
      <x:c r="I92" s="10" t="str">
        <x:v>Combine status/tag/follow-up filters over multi-page fixtures.</x:v>
      </x:c>
      <x:c r="J92" s="10" t="str">
        <x:v>Filter-before-pagination behavior, stable ordering and accurate totals.</x:v>
      </x:c>
      <x:c r="K92" s="11" t="str"/>
      <x:c r="L92" s="11" t="str">
        <x:v>Not run</x:v>
      </x:c>
      <x:c r="M92" s="11" t="str"/>
      <x:c r="N92" s="11" t="str"/>
      <x:c r="O92" s="11" t="str"/>
      <x:c r="P92" s="11" t="str"/>
      <x:c r="Q92" s="11" t="str"/>
      <x:c r="R92" s="11" t="str"/>
      <x:c r="S92" s="10" t="str">
        <x:v>Browser + API + database</x:v>
      </x:c>
      <x:c r="T92" s="10" t="str">
        <x:v>Approved testing plan</x:v>
      </x:c>
      <x:c r="U92" s="10" t="str">
        <x:v>Reconcile tagged fixtures; archive/withdraw only owned test publications. Preserve audit/financial history.</x:v>
      </x:c>
      <x:c r="V92" s="12" t="str">
        <x:f>IF(A92="","",IF(L92="Not run","Pending",IF(OR(L92="Blocked",L92="Not deployed",L92="Not applicable"),IF(OR(K92="",R92=""),"Needs explanation","Recorded"),IF(OR(L92="Pass",L92="Fail"),IF(OR(K92="",M92="",P92=""),"Needs result/evidence/build","Recorded"),"Needs valid status"))))</x:f>
        <x:v>Pending</x:v>
      </x:c>
    </x:row>
    <x:row r="93" ht="38" customHeight="1">
      <x:c r="A93" s="10" t="str">
        <x:v>QA-0089</x:v>
      </x:c>
      <x:c r="B93" s="10" t="str">
        <x:v>F. CRM and inquiries</x:v>
      </x:c>
      <x:c r="C93" s="10" t="str">
        <x:v>Assignment</x:v>
      </x:c>
      <x:c r="D93" s="10" t="str">
        <x:v>/contact /member/inquiries /admin/workspaces/crm</x:v>
      </x:c>
      <x:c r="E93" s="10" t="str">
        <x:v>Anonymous / member / communications_operator</x:v>
      </x:c>
      <x:c r="F93" s="10" t="str">
        <x:v>P1</x:v>
      </x:c>
      <x:c r="G93" s="10" t="str">
        <x:v>Live - tagged fixture</x:v>
      </x:c>
      <x:c r="H93" s="10" t="str">
        <x:v>Record deployed build. Use assigned test accounts, synthetic data and approved fixtures/recipients only.</x:v>
      </x:c>
      <x:c r="I93" s="10" t="str">
        <x:v>Assign and reassign tagged inquiry to allowed staff.</x:v>
      </x:c>
      <x:c r="J93" s="10" t="str">
        <x:v>Current assignee and immutable history match.</x:v>
      </x:c>
      <x:c r="K93" s="11" t="str"/>
      <x:c r="L93" s="11" t="str">
        <x:v>Not run</x:v>
      </x:c>
      <x:c r="M93" s="11" t="str"/>
      <x:c r="N93" s="11" t="str"/>
      <x:c r="O93" s="11" t="str"/>
      <x:c r="P93" s="11" t="str"/>
      <x:c r="Q93" s="11" t="str"/>
      <x:c r="R93" s="11" t="str"/>
      <x:c r="S93" s="10" t="str">
        <x:v>Browser + API + database</x:v>
      </x:c>
      <x:c r="T93" s="10" t="str">
        <x:v>Approved testing plan</x:v>
      </x:c>
      <x:c r="U93" s="10" t="str">
        <x:v>Reconcile tagged fixtures; archive/withdraw only owned test publications. Preserve audit/financial history.</x:v>
      </x:c>
      <x:c r="V93" s="12" t="str">
        <x:f>IF(A93="","",IF(L93="Not run","Pending",IF(OR(L93="Blocked",L93="Not deployed",L93="Not applicable"),IF(OR(K93="",R93=""),"Needs explanation","Recorded"),IF(OR(L93="Pass",L93="Fail"),IF(OR(K93="",M93="",P93=""),"Needs result/evidence/build","Recorded"),"Needs valid status"))))</x:f>
        <x:v>Pending</x:v>
      </x:c>
    </x:row>
    <x:row r="94" ht="38" customHeight="1">
      <x:c r="A94" s="10" t="str">
        <x:v>QA-0090</x:v>
      </x:c>
      <x:c r="B94" s="10" t="str">
        <x:v>F. CRM and inquiries</x:v>
      </x:c>
      <x:c r="C94" s="10" t="str">
        <x:v>Notes and tags</x:v>
      </x:c>
      <x:c r="D94" s="10" t="str">
        <x:v>/contact /member/inquiries /admin/workspaces/crm</x:v>
      </x:c>
      <x:c r="E94" s="10" t="str">
        <x:v>Anonymous / member / communications_operator</x:v>
      </x:c>
      <x:c r="F94" s="10" t="str">
        <x:v>P1</x:v>
      </x:c>
      <x:c r="G94" s="10" t="str">
        <x:v>Live - tagged fixture</x:v>
      </x:c>
      <x:c r="H94" s="10" t="str">
        <x:v>Record deployed build. Use assigned test accounts, synthetic data and approved fixtures/recipients only.</x:v>
      </x:c>
      <x:c r="I94" s="10" t="str">
        <x:v>Add/edit supported note/tag actions on QA inquiry.</x:v>
      </x:c>
      <x:c r="J94" s="10" t="str">
        <x:v>Saved text is safe; private details stay staff-only.</x:v>
      </x:c>
      <x:c r="K94" s="11" t="str"/>
      <x:c r="L94" s="11" t="str">
        <x:v>Not run</x:v>
      </x:c>
      <x:c r="M94" s="11" t="str"/>
      <x:c r="N94" s="11" t="str"/>
      <x:c r="O94" s="11" t="str"/>
      <x:c r="P94" s="11" t="str"/>
      <x:c r="Q94" s="11" t="str"/>
      <x:c r="R94" s="11" t="str"/>
      <x:c r="S94" s="10" t="str">
        <x:v>Browser + API + database</x:v>
      </x:c>
      <x:c r="T94" s="10" t="str">
        <x:v>Approved testing plan</x:v>
      </x:c>
      <x:c r="U94" s="10" t="str">
        <x:v>Reconcile tagged fixtures; archive/withdraw only owned test publications. Preserve audit/financial history.</x:v>
      </x:c>
      <x:c r="V94" s="12" t="str">
        <x:f>IF(A94="","",IF(L94="Not run","Pending",IF(OR(L94="Blocked",L94="Not deployed",L94="Not applicable"),IF(OR(K94="",R94=""),"Needs explanation","Recorded"),IF(OR(L94="Pass",L94="Fail"),IF(OR(K94="",M94="",P94=""),"Needs result/evidence/build","Recorded"),"Needs valid status"))))</x:f>
        <x:v>Pending</x:v>
      </x:c>
    </x:row>
    <x:row r="95" ht="38" customHeight="1">
      <x:c r="A95" s="10" t="str">
        <x:v>QA-0091</x:v>
      </x:c>
      <x:c r="B95" s="10" t="str">
        <x:v>F. CRM and inquiries</x:v>
      </x:c>
      <x:c r="C95" s="10" t="str">
        <x:v>Follow-up dates</x:v>
      </x:c>
      <x:c r="D95" s="10" t="str">
        <x:v>/contact /member/inquiries /admin/workspaces/crm</x:v>
      </x:c>
      <x:c r="E95" s="10" t="str">
        <x:v>Anonymous / member / communications_operator</x:v>
      </x:c>
      <x:c r="F95" s="10" t="str">
        <x:v>P1</x:v>
      </x:c>
      <x:c r="G95" s="10" t="str">
        <x:v>Live - tagged fixture</x:v>
      </x:c>
      <x:c r="H95" s="10" t="str">
        <x:v>Record deployed build. Use assigned test accounts, synthetic data and approved fixtures/recipients only.</x:v>
      </x:c>
      <x:c r="I95" s="10" t="str">
        <x:v>Set today, past and future follow-ups around IST midnight.</x:v>
      </x:c>
      <x:c r="J95" s="10" t="str">
        <x:v>Overdue/current labels match India-date rules.</x:v>
      </x:c>
      <x:c r="K95" s="11" t="str"/>
      <x:c r="L95" s="11" t="str">
        <x:v>Not run</x:v>
      </x:c>
      <x:c r="M95" s="11" t="str"/>
      <x:c r="N95" s="11" t="str"/>
      <x:c r="O95" s="11" t="str"/>
      <x:c r="P95" s="11" t="str"/>
      <x:c r="Q95" s="11" t="str"/>
      <x:c r="R95" s="11" t="str"/>
      <x:c r="S95" s="10" t="str">
        <x:v>Browser + API + database</x:v>
      </x:c>
      <x:c r="T95" s="10" t="str">
        <x:v>Approved testing plan</x:v>
      </x:c>
      <x:c r="U95" s="10" t="str">
        <x:v>Reconcile tagged fixtures; archive/withdraw only owned test publications. Preserve audit/financial history.</x:v>
      </x:c>
      <x:c r="V95" s="12" t="str">
        <x:f>IF(A95="","",IF(L95="Not run","Pending",IF(OR(L95="Blocked",L95="Not deployed",L95="Not applicable"),IF(OR(K95="",R95=""),"Needs explanation","Recorded"),IF(OR(L95="Pass",L95="Fail"),IF(OR(K95="",M95="",P95=""),"Needs result/evidence/build","Recorded"),"Needs valid status"))))</x:f>
        <x:v>Pending</x:v>
      </x:c>
    </x:row>
    <x:row r="96" ht="38" customHeight="1">
      <x:c r="A96" s="10" t="str">
        <x:v>QA-0092</x:v>
      </x:c>
      <x:c r="B96" s="10" t="str">
        <x:v>F. CRM and inquiries</x:v>
      </x:c>
      <x:c r="C96" s="10" t="str">
        <x:v>Status transitions</x:v>
      </x:c>
      <x:c r="D96" s="10" t="str">
        <x:v>/contact /member/inquiries /admin/workspaces/crm</x:v>
      </x:c>
      <x:c r="E96" s="10" t="str">
        <x:v>Anonymous / member / communications_operator</x:v>
      </x:c>
      <x:c r="F96" s="10" t="str">
        <x:v>P1</x:v>
      </x:c>
      <x:c r="G96" s="10" t="str">
        <x:v>Live - tagged fixture</x:v>
      </x:c>
      <x:c r="H96" s="10" t="str">
        <x:v>Record deployed build. Use assigned test accounts, synthetic data and approved fixtures/recipients only.</x:v>
      </x:c>
      <x:c r="I96" s="10" t="str">
        <x:v>Move QA inquiry through New, Contacted and Closed; test supported reopening.</x:v>
      </x:c>
      <x:c r="J96" s="10" t="str">
        <x:v>State, timestamps and audit remain consistent.</x:v>
      </x:c>
      <x:c r="K96" s="11" t="str"/>
      <x:c r="L96" s="11" t="str">
        <x:v>Not run</x:v>
      </x:c>
      <x:c r="M96" s="11" t="str"/>
      <x:c r="N96" s="11" t="str"/>
      <x:c r="O96" s="11" t="str"/>
      <x:c r="P96" s="11" t="str"/>
      <x:c r="Q96" s="11" t="str"/>
      <x:c r="R96" s="11" t="str"/>
      <x:c r="S96" s="10" t="str">
        <x:v>Browser + API + database</x:v>
      </x:c>
      <x:c r="T96" s="10" t="str">
        <x:v>Approved testing plan</x:v>
      </x:c>
      <x:c r="U96" s="10" t="str">
        <x:v>Reconcile tagged fixtures; archive/withdraw only owned test publications. Preserve audit/financial history.</x:v>
      </x:c>
      <x:c r="V96" s="12" t="str">
        <x:f>IF(A96="","",IF(L96="Not run","Pending",IF(OR(L96="Blocked",L96="Not deployed",L96="Not applicable"),IF(OR(K96="",R96=""),"Needs explanation","Recorded"),IF(OR(L96="Pass",L96="Fail"),IF(OR(K96="",M96="",P96=""),"Needs result/evidence/build","Recorded"),"Needs valid status"))))</x:f>
        <x:v>Pending</x:v>
      </x:c>
    </x:row>
    <x:row r="97" ht="38" customHeight="1">
      <x:c r="A97" s="10" t="str">
        <x:v>QA-0093</x:v>
      </x:c>
      <x:c r="B97" s="10" t="str">
        <x:v>F. CRM and inquiries</x:v>
      </x:c>
      <x:c r="C97" s="10" t="str">
        <x:v>Concurrent CRM edit</x:v>
      </x:c>
      <x:c r="D97" s="10" t="str">
        <x:v>/contact /member/inquiries /admin/workspaces/crm</x:v>
      </x:c>
      <x:c r="E97" s="10" t="str">
        <x:v>Anonymous / member / communications_operator</x:v>
      </x:c>
      <x:c r="F97" s="10" t="str">
        <x:v>P1</x:v>
      </x:c>
      <x:c r="G97" s="10" t="str">
        <x:v>Live - tagged fixture</x:v>
      </x:c>
      <x:c r="H97" s="10" t="str">
        <x:v>Record deployed build. Use assigned test accounts, synthetic data and approved fixtures/recipients only.</x:v>
      </x:c>
      <x:c r="I97" s="10" t="str">
        <x:v>Edit same QA inquiry from two tabs.</x:v>
      </x:c>
      <x:c r="J97" s="10" t="str">
        <x:v>Stale update is surfaced; notes/history not silently lost.</x:v>
      </x:c>
      <x:c r="K97" s="11" t="str"/>
      <x:c r="L97" s="11" t="str">
        <x:v>Not run</x:v>
      </x:c>
      <x:c r="M97" s="11" t="str"/>
      <x:c r="N97" s="11" t="str"/>
      <x:c r="O97" s="11" t="str"/>
      <x:c r="P97" s="11" t="str"/>
      <x:c r="Q97" s="11" t="str"/>
      <x:c r="R97" s="11" t="str"/>
      <x:c r="S97" s="10" t="str">
        <x:v>Browser + API + database</x:v>
      </x:c>
      <x:c r="T97" s="10" t="str">
        <x:v>Approved testing plan</x:v>
      </x:c>
      <x:c r="U97" s="10" t="str">
        <x:v>Reconcile tagged fixtures; archive/withdraw only owned test publications. Preserve audit/financial history.</x:v>
      </x:c>
      <x:c r="V97" s="12" t="str">
        <x:f>IF(A97="","",IF(L97="Not run","Pending",IF(OR(L97="Blocked",L97="Not deployed",L97="Not applicable"),IF(OR(K97="",R97=""),"Needs explanation","Recorded"),IF(OR(L97="Pass",L97="Fail"),IF(OR(K97="",M97="",P97=""),"Needs result/evidence/build","Recorded"),"Needs valid status"))))</x:f>
        <x:v>Pending</x:v>
      </x:c>
    </x:row>
    <x:row r="98" ht="38" customHeight="1">
      <x:c r="A98" s="10" t="str">
        <x:v>QA-0094</x:v>
      </x:c>
      <x:c r="B98" s="10" t="str">
        <x:v>F. CRM and inquiries</x:v>
      </x:c>
      <x:c r="C98" s="10" t="str">
        <x:v>CRM permissions</x:v>
      </x:c>
      <x:c r="D98" s="10" t="str">
        <x:v>/contact /member/inquiries /admin/workspaces/crm</x:v>
      </x:c>
      <x:c r="E98" s="10" t="str">
        <x:v>Anonymous / member / communications_operator</x:v>
      </x:c>
      <x:c r="F98" s="10" t="str">
        <x:v>P1</x:v>
      </x:c>
      <x:c r="G98" s="10" t="str">
        <x:v>Live - tagged fixture</x:v>
      </x:c>
      <x:c r="H98" s="10" t="str">
        <x:v>Record deployed build. Use assigned test accounts, synthetic data and approved fixtures/recipients only.</x:v>
      </x:c>
      <x:c r="I98" s="10" t="str">
        <x:v>Read and mutate QA inquiry as unrelated staff role/member/anonymous.</x:v>
      </x:c>
      <x:c r="J98" s="10" t="str">
        <x:v>Server denial with no private data or mutation.</x:v>
      </x:c>
      <x:c r="K98" s="11" t="str"/>
      <x:c r="L98" s="11" t="str">
        <x:v>Not run</x:v>
      </x:c>
      <x:c r="M98" s="11" t="str"/>
      <x:c r="N98" s="11" t="str"/>
      <x:c r="O98" s="11" t="str"/>
      <x:c r="P98" s="11" t="str"/>
      <x:c r="Q98" s="11" t="str"/>
      <x:c r="R98" s="11" t="str"/>
      <x:c r="S98" s="10" t="str">
        <x:v>Browser + API + database</x:v>
      </x:c>
      <x:c r="T98" s="10" t="str">
        <x:v>Approved testing plan</x:v>
      </x:c>
      <x:c r="U98" s="10" t="str">
        <x:v>Reconcile tagged fixtures; archive/withdraw only owned test publications. Preserve audit/financial history.</x:v>
      </x:c>
      <x:c r="V98" s="12" t="str">
        <x:f>IF(A98="","",IF(L98="Not run","Pending",IF(OR(L98="Blocked",L98="Not deployed",L98="Not applicable"),IF(OR(K98="",R98=""),"Needs explanation","Recorded"),IF(OR(L98="Pass",L98="Fail"),IF(OR(K98="",M98="",P98=""),"Needs result/evidence/build","Recorded"),"Needs valid status"))))</x:f>
        <x:v>Pending</x:v>
      </x:c>
    </x:row>
    <x:row r="99" ht="38" customHeight="1">
      <x:c r="A99" s="10" t="str">
        <x:v>QA-0095</x:v>
      </x:c>
      <x:c r="B99" s="10" t="str">
        <x:v>G. Register and onboarding</x:v>
      </x:c>
      <x:c r="C99" s="10" t="str">
        <x:v>Identity boundaries</x:v>
      </x:c>
      <x:c r="D99" s="10" t="str">
        <x:v>/admin/workspaces/members /admin/workspaces/onboarding</x:v>
      </x:c>
      <x:c r="E99" s="10" t="str">
        <x:v>membership_reviewer / administrator</x:v>
      </x:c>
      <x:c r="F99" s="10" t="str">
        <x:v>P1</x:v>
      </x:c>
      <x:c r="G99" s="10" t="str">
        <x:v>Live - tagged fixture</x:v>
      </x:c>
      <x:c r="H99" s="10" t="str">
        <x:v>Record deployed build. Use assigned test accounts, synthetic data and approved fixtures/recipients only.</x:v>
      </x:c>
      <x:c r="I99" s="10" t="str">
        <x:v>Follow QA Person, Membership and User Account links by exact ID.</x:v>
      </x:c>
      <x:c r="J99" s="10" t="str">
        <x:v>Separate entities link correctly; counts/statuses are not conflated.</x:v>
      </x:c>
      <x:c r="K99" s="11" t="str"/>
      <x:c r="L99" s="11" t="str">
        <x:v>Not run</x:v>
      </x:c>
      <x:c r="M99" s="11" t="str"/>
      <x:c r="N99" s="11" t="str"/>
      <x:c r="O99" s="11" t="str"/>
      <x:c r="P99" s="11" t="str"/>
      <x:c r="Q99" s="11" t="str"/>
      <x:c r="R99" s="11" t="str"/>
      <x:c r="S99" s="10" t="str">
        <x:v>Browser + API + database</x:v>
      </x:c>
      <x:c r="T99" s="10" t="str">
        <x:v>Approved testing plan</x:v>
      </x:c>
      <x:c r="U99" s="10" t="str">
        <x:v>Reconcile tagged fixtures; archive/withdraw only owned test publications. Preserve audit/financial history.</x:v>
      </x:c>
      <x:c r="V99" s="12" t="str">
        <x:f>IF(A99="","",IF(L99="Not run","Pending",IF(OR(L99="Blocked",L99="Not deployed",L99="Not applicable"),IF(OR(K99="",R99=""),"Needs explanation","Recorded"),IF(OR(L99="Pass",L99="Fail"),IF(OR(K99="",M99="",P99=""),"Needs result/evidence/build","Recorded"),"Needs valid status"))))</x:f>
        <x:v>Pending</x:v>
      </x:c>
    </x:row>
    <x:row r="100" ht="38" customHeight="1">
      <x:c r="A100" s="10" t="str">
        <x:v>QA-0096</x:v>
      </x:c>
      <x:c r="B100" s="10" t="str">
        <x:v>G. Register and onboarding</x:v>
      </x:c>
      <x:c r="C100" s="10" t="str">
        <x:v>Directory search</x:v>
      </x:c>
      <x:c r="D100" s="10" t="str">
        <x:v>/admin/workspaces/members /admin/workspaces/onboarding</x:v>
      </x:c>
      <x:c r="E100" s="10" t="str">
        <x:v>membership_reviewer / administrator</x:v>
      </x:c>
      <x:c r="F100" s="10" t="str">
        <x:v>P1</x:v>
      </x:c>
      <x:c r="G100" s="10" t="str">
        <x:v>Live - tagged fixture</x:v>
      </x:c>
      <x:c r="H100" s="10" t="str">
        <x:v>Record deployed build. Use assigned test accounts, synthetic data and approved fixtures/recipients only.</x:v>
      </x:c>
      <x:c r="I100" s="10" t="str">
        <x:v>Search QA records using each supported identifier and direct ID link.</x:v>
      </x:c>
      <x:c r="J100" s="10" t="str">
        <x:v>Correct record across pagination; no same-name accidental selection.</x:v>
      </x:c>
      <x:c r="K100" s="11" t="str"/>
      <x:c r="L100" s="11" t="str">
        <x:v>Not run</x:v>
      </x:c>
      <x:c r="M100" s="11" t="str"/>
      <x:c r="N100" s="11" t="str"/>
      <x:c r="O100" s="11" t="str"/>
      <x:c r="P100" s="11" t="str"/>
      <x:c r="Q100" s="11" t="str"/>
      <x:c r="R100" s="11" t="str"/>
      <x:c r="S100" s="10" t="str">
        <x:v>Browser + API + database</x:v>
      </x:c>
      <x:c r="T100" s="10" t="str">
        <x:v>Approved testing plan</x:v>
      </x:c>
      <x:c r="U100" s="10" t="str">
        <x:v>Reconcile tagged fixtures; archive/withdraw only owned test publications. Preserve audit/financial history.</x:v>
      </x:c>
      <x:c r="V100" s="12" t="str">
        <x:f>IF(A100="","",IF(L100="Not run","Pending",IF(OR(L100="Blocked",L100="Not deployed",L100="Not applicable"),IF(OR(K100="",R100=""),"Needs explanation","Recorded"),IF(OR(L100="Pass",L100="Fail"),IF(OR(K100="",M100="",P100=""),"Needs result/evidence/build","Recorded"),"Needs valid status"))))</x:f>
        <x:v>Pending</x:v>
      </x:c>
    </x:row>
    <x:row r="101" ht="38" customHeight="1">
      <x:c r="A101" s="10" t="str">
        <x:v>QA-0097</x:v>
      </x:c>
      <x:c r="B101" s="10" t="str">
        <x:v>G. Register and onboarding</x:v>
      </x:c>
      <x:c r="C101" s="10" t="str">
        <x:v>Directory filtering</x:v>
      </x:c>
      <x:c r="D101" s="10" t="str">
        <x:v>/admin/workspaces/members /admin/workspaces/onboarding</x:v>
      </x:c>
      <x:c r="E101" s="10" t="str">
        <x:v>membership_reviewer / administrator</x:v>
      </x:c>
      <x:c r="F101" s="10" t="str">
        <x:v>P1</x:v>
      </x:c>
      <x:c r="G101" s="10" t="str">
        <x:v>Live - tagged fixture</x:v>
      </x:c>
      <x:c r="H101" s="10" t="str">
        <x:v>Record deployed build. Use assigned test accounts, synthetic data and approved fixtures/recipients only.</x:v>
      </x:c>
      <x:c r="I101" s="10" t="str">
        <x:v>Combine supported verification/contact/review filters and compare database query.</x:v>
      </x:c>
      <x:c r="J101" s="10" t="str">
        <x:v>Matching rows and totals agree with reports.</x:v>
      </x:c>
      <x:c r="K101" s="11" t="str"/>
      <x:c r="L101" s="11" t="str">
        <x:v>Not run</x:v>
      </x:c>
      <x:c r="M101" s="11" t="str"/>
      <x:c r="N101" s="11" t="str"/>
      <x:c r="O101" s="11" t="str"/>
      <x:c r="P101" s="11" t="str"/>
      <x:c r="Q101" s="11" t="str"/>
      <x:c r="R101" s="11" t="str"/>
      <x:c r="S101" s="10" t="str">
        <x:v>Browser + API + database</x:v>
      </x:c>
      <x:c r="T101" s="10" t="str">
        <x:v>Approved testing plan</x:v>
      </x:c>
      <x:c r="U101" s="10" t="str">
        <x:v>Reconcile tagged fixtures; archive/withdraw only owned test publications. Preserve audit/financial history.</x:v>
      </x:c>
      <x:c r="V101" s="12" t="str">
        <x:f>IF(A101="","",IF(L101="Not run","Pending",IF(OR(L101="Blocked",L101="Not deployed",L101="Not applicable"),IF(OR(K101="",R101=""),"Needs explanation","Recorded"),IF(OR(L101="Pass",L101="Fail"),IF(OR(K101="",M101="",P101=""),"Needs result/evidence/build","Recorded"),"Needs valid status"))))</x:f>
        <x:v>Pending</x:v>
      </x:c>
    </x:row>
    <x:row r="102" ht="38" customHeight="1">
      <x:c r="A102" s="10" t="str">
        <x:v>QA-0098</x:v>
      </x:c>
      <x:c r="B102" s="10" t="str">
        <x:v>G. Register and onboarding</x:v>
      </x:c>
      <x:c r="C102" s="10" t="str">
        <x:v>Accepted versus proposed details</x:v>
      </x:c>
      <x:c r="D102" s="10" t="str">
        <x:v>/admin/workspaces/members /admin/workspaces/onboarding</x:v>
      </x:c>
      <x:c r="E102" s="10" t="str">
        <x:v>membership_reviewer / administrator</x:v>
      </x:c>
      <x:c r="F102" s="10" t="str">
        <x:v>P1</x:v>
      </x:c>
      <x:c r="G102" s="10" t="str">
        <x:v>Live - tagged fixture</x:v>
      </x:c>
      <x:c r="H102" s="10" t="str">
        <x:v>Record deployed build. Use assigned test accounts, synthetic data and approved fixtures/recipients only.</x:v>
      </x:c>
      <x:c r="I102" s="10" t="str">
        <x:v>Submit pending QA profile change and inspect directory/reviewer views.</x:v>
      </x:c>
      <x:c r="J102" s="10" t="str">
        <x:v>Accepted details remain identifiable; proposals are labelled.</x:v>
      </x:c>
      <x:c r="K102" s="11" t="str"/>
      <x:c r="L102" s="11" t="str">
        <x:v>Not run</x:v>
      </x:c>
      <x:c r="M102" s="11" t="str"/>
      <x:c r="N102" s="11" t="str"/>
      <x:c r="O102" s="11" t="str"/>
      <x:c r="P102" s="11" t="str"/>
      <x:c r="Q102" s="11" t="str"/>
      <x:c r="R102" s="11" t="str"/>
      <x:c r="S102" s="10" t="str">
        <x:v>Browser + API + database</x:v>
      </x:c>
      <x:c r="T102" s="10" t="str">
        <x:v>Approved testing plan</x:v>
      </x:c>
      <x:c r="U102" s="10" t="str">
        <x:v>Reconcile tagged fixtures; archive/withdraw only owned test publications. Preserve audit/financial history.</x:v>
      </x:c>
      <x:c r="V102" s="12" t="str">
        <x:f>IF(A102="","",IF(L102="Not run","Pending",IF(OR(L102="Blocked",L102="Not deployed",L102="Not applicable"),IF(OR(K102="",R102=""),"Needs explanation","Recorded"),IF(OR(L102="Pass",L102="Fail"),IF(OR(K102="",M102="",P102=""),"Needs result/evidence/build","Recorded"),"Needs valid status"))))</x:f>
        <x:v>Pending</x:v>
      </x:c>
    </x:row>
    <x:row r="103" ht="38" customHeight="1">
      <x:c r="A103" s="10" t="str">
        <x:v>QA-0099</x:v>
      </x:c>
      <x:c r="B103" s="10" t="str">
        <x:v>G. Register and onboarding</x:v>
      </x:c>
      <x:c r="C103" s="10" t="str">
        <x:v>CSV import preview</x:v>
      </x:c>
      <x:c r="D103" s="10" t="str">
        <x:v>/admin/workspaces/members /admin/workspaces/onboarding</x:v>
      </x:c>
      <x:c r="E103" s="10" t="str">
        <x:v>membership_reviewer / administrator</x:v>
      </x:c>
      <x:c r="F103" s="10" t="str">
        <x:v>P1</x:v>
      </x:c>
      <x:c r="G103" s="10" t="str">
        <x:v>Live - tagged fixture</x:v>
      </x:c>
      <x:c r="H103" s="10" t="str">
        <x:v>Record deployed build. Use assigned test accounts, synthetic data and approved fixtures/recipients only.</x:v>
      </x:c>
      <x:c r="I103" s="10" t="str">
        <x:v>Preview synthetic CSV with explicit mapping and inspect all rows.</x:v>
      </x:c>
      <x:c r="J103" s="10" t="str">
        <x:v>Mapping, row counts and validation are understandable; no commit/send occurs.</x:v>
      </x:c>
      <x:c r="K103" s="11" t="str"/>
      <x:c r="L103" s="11" t="str">
        <x:v>Not run</x:v>
      </x:c>
      <x:c r="M103" s="11" t="str"/>
      <x:c r="N103" s="11" t="str"/>
      <x:c r="O103" s="11" t="str"/>
      <x:c r="P103" s="11" t="str"/>
      <x:c r="Q103" s="11" t="str"/>
      <x:c r="R103" s="11" t="str"/>
      <x:c r="S103" s="10" t="str">
        <x:v>Browser + API + database</x:v>
      </x:c>
      <x:c r="T103" s="10" t="str">
        <x:v>Approved testing plan</x:v>
      </x:c>
      <x:c r="U103" s="10" t="str">
        <x:v>Reconcile tagged fixtures; archive/withdraw only owned test publications. Preserve audit/financial history.</x:v>
      </x:c>
      <x:c r="V103" s="12" t="str">
        <x:f>IF(A103="","",IF(L103="Not run","Pending",IF(OR(L103="Blocked",L103="Not deployed",L103="Not applicable"),IF(OR(K103="",R103=""),"Needs explanation","Recorded"),IF(OR(L103="Pass",L103="Fail"),IF(OR(K103="",M103="",P103=""),"Needs result/evidence/build","Recorded"),"Needs valid status"))))</x:f>
        <x:v>Pending</x:v>
      </x:c>
    </x:row>
    <x:row r="104" ht="38" customHeight="1">
      <x:c r="A104" s="10" t="str">
        <x:v>QA-0100</x:v>
      </x:c>
      <x:c r="B104" s="10" t="str">
        <x:v>G. Register and onboarding</x:v>
      </x:c>
      <x:c r="C104" s="10" t="str">
        <x:v>XLSX import preview</x:v>
      </x:c>
      <x:c r="D104" s="10" t="str">
        <x:v>/admin/workspaces/members /admin/workspaces/onboarding</x:v>
      </x:c>
      <x:c r="E104" s="10" t="str">
        <x:v>membership_reviewer / administrator</x:v>
      </x:c>
      <x:c r="F104" s="10" t="str">
        <x:v>P1</x:v>
      </x:c>
      <x:c r="G104" s="10" t="str">
        <x:v>Live - tagged fixture</x:v>
      </x:c>
      <x:c r="H104" s="10" t="str">
        <x:v>Record deployed build. Use assigned test accounts, synthetic data and approved fixtures/recipients only.</x:v>
      </x:c>
      <x:c r="I104" s="10" t="str">
        <x:v>Preview equivalent synthetic workbook and compare parsed values/types.</x:v>
      </x:c>
      <x:c r="J104" s="10" t="str">
        <x:v>Equivalent records preserve intended data without formula execution.</x:v>
      </x:c>
      <x:c r="K104" s="11" t="str"/>
      <x:c r="L104" s="11" t="str">
        <x:v>Not run</x:v>
      </x:c>
      <x:c r="M104" s="11" t="str"/>
      <x:c r="N104" s="11" t="str"/>
      <x:c r="O104" s="11" t="str"/>
      <x:c r="P104" s="11" t="str"/>
      <x:c r="Q104" s="11" t="str"/>
      <x:c r="R104" s="11" t="str"/>
      <x:c r="S104" s="10" t="str">
        <x:v>Browser + API + database</x:v>
      </x:c>
      <x:c r="T104" s="10" t="str">
        <x:v>Approved testing plan</x:v>
      </x:c>
      <x:c r="U104" s="10" t="str">
        <x:v>Reconcile tagged fixtures; archive/withdraw only owned test publications. Preserve audit/financial history.</x:v>
      </x:c>
      <x:c r="V104" s="12" t="str">
        <x:f>IF(A104="","",IF(L104="Not run","Pending",IF(OR(L104="Blocked",L104="Not deployed",L104="Not applicable"),IF(OR(K104="",R104=""),"Needs explanation","Recorded"),IF(OR(L104="Pass",L104="Fail"),IF(OR(K104="",M104="",P104=""),"Needs result/evidence/build","Recorded"),"Needs valid status"))))</x:f>
        <x:v>Pending</x:v>
      </x:c>
    </x:row>
    <x:row r="105" ht="38" customHeight="1">
      <x:c r="A105" s="10" t="str">
        <x:v>QA-0101</x:v>
      </x:c>
      <x:c r="B105" s="10" t="str">
        <x:v>G. Register and onboarding</x:v>
      </x:c>
      <x:c r="C105" s="10" t="str">
        <x:v>Import invalid rows</x:v>
      </x:c>
      <x:c r="D105" s="10" t="str">
        <x:v>/admin/workspaces/members /admin/workspaces/onboarding</x:v>
      </x:c>
      <x:c r="E105" s="10" t="str">
        <x:v>membership_reviewer / administrator</x:v>
      </x:c>
      <x:c r="F105" s="10" t="str">
        <x:v>P1</x:v>
      </x:c>
      <x:c r="G105" s="10" t="str">
        <x:v>Live - tagged fixture</x:v>
      </x:c>
      <x:c r="H105" s="10" t="str">
        <x:v>Record deployed build. Use assigned test accounts, synthetic data and approved fixtures/recipients only.</x:v>
      </x:c>
      <x:c r="I105" s="10" t="str">
        <x:v>Preview missing columns, malformed fields, duplicate IDs/emails and ambiguous existing identities.</x:v>
      </x:c>
      <x:c r="J105" s="10" t="str">
        <x:v>Row-level errors prevent unintended provisioning/merge.</x:v>
      </x:c>
      <x:c r="K105" s="11" t="str"/>
      <x:c r="L105" s="11" t="str">
        <x:v>Not run</x:v>
      </x:c>
      <x:c r="M105" s="11" t="str"/>
      <x:c r="N105" s="11" t="str"/>
      <x:c r="O105" s="11" t="str"/>
      <x:c r="P105" s="11" t="str"/>
      <x:c r="Q105" s="11" t="str"/>
      <x:c r="R105" s="11" t="str"/>
      <x:c r="S105" s="10" t="str">
        <x:v>Browser + API + database</x:v>
      </x:c>
      <x:c r="T105" s="10" t="str">
        <x:v>Approved testing plan</x:v>
      </x:c>
      <x:c r="U105" s="10" t="str">
        <x:v>Reconcile tagged fixtures; archive/withdraw only owned test publications. Preserve audit/financial history.</x:v>
      </x:c>
      <x:c r="V105" s="12" t="str">
        <x:f>IF(A105="","",IF(L105="Not run","Pending",IF(OR(L105="Blocked",L105="Not deployed",L105="Not applicable"),IF(OR(K105="",R105=""),"Needs explanation","Recorded"),IF(OR(L105="Pass",L105="Fail"),IF(OR(K105="",M105="",P105=""),"Needs result/evidence/build","Recorded"),"Needs valid status"))))</x:f>
        <x:v>Pending</x:v>
      </x:c>
    </x:row>
    <x:row r="106" ht="38" customHeight="1">
      <x:c r="A106" s="10" t="str">
        <x:v>QA-0102</x:v>
      </x:c>
      <x:c r="B106" s="10" t="str">
        <x:v>G. Register and onboarding</x:v>
      </x:c>
      <x:c r="C106" s="10" t="str">
        <x:v>Reviewed import commit</x:v>
      </x:c>
      <x:c r="D106" s="10" t="str">
        <x:v>/admin/workspaces/members /admin/workspaces/onboarding</x:v>
      </x:c>
      <x:c r="E106" s="10" t="str">
        <x:v>membership_reviewer / administrator</x:v>
      </x:c>
      <x:c r="F106" s="10" t="str">
        <x:v>P1</x:v>
      </x:c>
      <x:c r="G106" s="10" t="str">
        <x:v>Live - tagged fixture</x:v>
      </x:c>
      <x:c r="H106" s="10" t="str">
        <x:v>Record deployed build. Use assigned test accounts, synthetic data and approved fixtures/recipients only.</x:v>
      </x:c>
      <x:c r="I106" s="10" t="str">
        <x:v>Commit a small approved QA-only reviewed batch once.</x:v>
      </x:c>
      <x:c r="J106" s="10" t="str">
        <x:v>Only reviewed eligible rows create intended links; counts reconcile.</x:v>
      </x:c>
      <x:c r="K106" s="11" t="str"/>
      <x:c r="L106" s="11" t="str">
        <x:v>Not run</x:v>
      </x:c>
      <x:c r="M106" s="11" t="str"/>
      <x:c r="N106" s="11" t="str"/>
      <x:c r="O106" s="11" t="str"/>
      <x:c r="P106" s="11" t="str"/>
      <x:c r="Q106" s="11" t="str"/>
      <x:c r="R106" s="11" t="str"/>
      <x:c r="S106" s="10" t="str">
        <x:v>Browser + API + database</x:v>
      </x:c>
      <x:c r="T106" s="10" t="str">
        <x:v>Approved testing plan</x:v>
      </x:c>
      <x:c r="U106" s="10" t="str">
        <x:v>Reconcile tagged fixtures; archive/withdraw only owned test publications. Preserve audit/financial history.</x:v>
      </x:c>
      <x:c r="V106" s="12" t="str">
        <x:f>IF(A106="","",IF(L106="Not run","Pending",IF(OR(L106="Blocked",L106="Not deployed",L106="Not applicable"),IF(OR(K106="",R106=""),"Needs explanation","Recorded"),IF(OR(L106="Pass",L106="Fail"),IF(OR(K106="",M106="",P106=""),"Needs result/evidence/build","Recorded"),"Needs valid status"))))</x:f>
        <x:v>Pending</x:v>
      </x:c>
    </x:row>
    <x:row r="107" ht="38" customHeight="1">
      <x:c r="A107" s="10" t="str">
        <x:v>QA-0103</x:v>
      </x:c>
      <x:c r="B107" s="10" t="str">
        <x:v>G. Register and onboarding</x:v>
      </x:c>
      <x:c r="C107" s="10" t="str">
        <x:v>Import replay and retry</x:v>
      </x:c>
      <x:c r="D107" s="10" t="str">
        <x:v>/admin/workspaces/members /admin/workspaces/onboarding</x:v>
      </x:c>
      <x:c r="E107" s="10" t="str">
        <x:v>membership_reviewer / administrator</x:v>
      </x:c>
      <x:c r="F107" s="10" t="str">
        <x:v>P1</x:v>
      </x:c>
      <x:c r="G107" s="10" t="str">
        <x:v>Isolated only</x:v>
      </x:c>
      <x:c r="H107" s="10" t="str">
        <x:v>Record deployed build. Use assigned test accounts, synthetic data and approved fixtures/recipients only.</x:v>
      </x:c>
      <x:c r="I107" s="10" t="str">
        <x:v>Replay commit after simulated lost response.</x:v>
      </x:c>
      <x:c r="J107" s="10" t="str">
        <x:v>Same logical result; no duplicate person/membership/account/invitation.</x:v>
      </x:c>
      <x:c r="K107" s="11" t="str"/>
      <x:c r="L107" s="11" t="str">
        <x:v>Not run</x:v>
      </x:c>
      <x:c r="M107" s="11" t="str"/>
      <x:c r="N107" s="11" t="str"/>
      <x:c r="O107" s="11" t="str"/>
      <x:c r="P107" s="11" t="str"/>
      <x:c r="Q107" s="11" t="str"/>
      <x:c r="R107" s="11" t="str"/>
      <x:c r="S107" s="10" t="str">
        <x:v>Browser + API + database</x:v>
      </x:c>
      <x:c r="T107" s="10" t="str">
        <x:v>Approved testing plan</x:v>
      </x:c>
      <x:c r="U107" s="10" t="str">
        <x:v>Reconcile tagged fixtures; archive/withdraw only owned test publications. Preserve audit/financial history.</x:v>
      </x:c>
      <x:c r="V107" s="12" t="str">
        <x:f>IF(A107="","",IF(L107="Not run","Pending",IF(OR(L107="Blocked",L107="Not deployed",L107="Not applicable"),IF(OR(K107="",R107=""),"Needs explanation","Recorded"),IF(OR(L107="Pass",L107="Fail"),IF(OR(K107="",M107="",P107=""),"Needs result/evidence/build","Recorded"),"Needs valid status"))))</x:f>
        <x:v>Pending</x:v>
      </x:c>
    </x:row>
    <x:row r="108" ht="38" customHeight="1">
      <x:c r="A108" s="10" t="str">
        <x:v>QA-0104</x:v>
      </x:c>
      <x:c r="B108" s="10" t="str">
        <x:v>G. Register and onboarding</x:v>
      </x:c>
      <x:c r="C108" s="10" t="str">
        <x:v>Stale import review</x:v>
      </x:c>
      <x:c r="D108" s="10" t="str">
        <x:v>/admin/workspaces/members /admin/workspaces/onboarding</x:v>
      </x:c>
      <x:c r="E108" s="10" t="str">
        <x:v>membership_reviewer / administrator</x:v>
      </x:c>
      <x:c r="F108" s="10" t="str">
        <x:v>P1</x:v>
      </x:c>
      <x:c r="G108" s="10" t="str">
        <x:v>Isolated only</x:v>
      </x:c>
      <x:c r="H108" s="10" t="str">
        <x:v>Record deployed build. Use assigned test accounts, synthetic data and approved fixtures/recipients only.</x:v>
      </x:c>
      <x:c r="I108" s="10" t="str">
        <x:v>Change mapping/source/version after review and attempt commit.</x:v>
      </x:c>
      <x:c r="J108" s="10" t="str">
        <x:v>Stale authorization rejected and fresh review required.</x:v>
      </x:c>
      <x:c r="K108" s="11" t="str"/>
      <x:c r="L108" s="11" t="str">
        <x:v>Not run</x:v>
      </x:c>
      <x:c r="M108" s="11" t="str"/>
      <x:c r="N108" s="11" t="str"/>
      <x:c r="O108" s="11" t="str"/>
      <x:c r="P108" s="11" t="str"/>
      <x:c r="Q108" s="11" t="str"/>
      <x:c r="R108" s="11" t="str"/>
      <x:c r="S108" s="10" t="str">
        <x:v>Browser + API + database</x:v>
      </x:c>
      <x:c r="T108" s="10" t="str">
        <x:v>Approved testing plan</x:v>
      </x:c>
      <x:c r="U108" s="10" t="str">
        <x:v>Reconcile tagged fixtures; archive/withdraw only owned test publications. Preserve audit/financial history.</x:v>
      </x:c>
      <x:c r="V108" s="12" t="str">
        <x:f>IF(A108="","",IF(L108="Not run","Pending",IF(OR(L108="Blocked",L108="Not deployed",L108="Not applicable"),IF(OR(K108="",R108=""),"Needs explanation","Recorded"),IF(OR(L108="Pass",L108="Fail"),IF(OR(K108="",M108="",P108=""),"Needs result/evidence/build","Recorded"),"Needs valid status"))))</x:f>
        <x:v>Pending</x:v>
      </x:c>
    </x:row>
    <x:row r="109" ht="38" customHeight="1">
      <x:c r="A109" s="10" t="str">
        <x:v>QA-0105</x:v>
      </x:c>
      <x:c r="B109" s="10" t="str">
        <x:v>G. Register and onboarding</x:v>
      </x:c>
      <x:c r="C109" s="10" t="str">
        <x:v>Interrupted import job</x:v>
      </x:c>
      <x:c r="D109" s="10" t="str">
        <x:v>/admin/workspaces/members /admin/workspaces/onboarding</x:v>
      </x:c>
      <x:c r="E109" s="10" t="str">
        <x:v>membership_reviewer / administrator</x:v>
      </x:c>
      <x:c r="F109" s="10" t="str">
        <x:v>P1</x:v>
      </x:c>
      <x:c r="G109" s="10" t="str">
        <x:v>Isolated only</x:v>
      </x:c>
      <x:c r="H109" s="10" t="str">
        <x:v>Record deployed build. Use assigned test accounts, synthetic data and approved fixtures/recipients only.</x:v>
      </x:c>
      <x:c r="I109" s="10" t="str">
        <x:v>Stop/restart isolated import processing mid-batch.</x:v>
      </x:c>
      <x:c r="J109" s="10" t="str">
        <x:v>Job resumes or reports precise partial outcome without duplicates.</x:v>
      </x:c>
      <x:c r="K109" s="11" t="str"/>
      <x:c r="L109" s="11" t="str">
        <x:v>Not run</x:v>
      </x:c>
      <x:c r="M109" s="11" t="str"/>
      <x:c r="N109" s="11" t="str"/>
      <x:c r="O109" s="11" t="str"/>
      <x:c r="P109" s="11" t="str"/>
      <x:c r="Q109" s="11" t="str"/>
      <x:c r="R109" s="11" t="str"/>
      <x:c r="S109" s="10" t="str">
        <x:v>Browser + API + database</x:v>
      </x:c>
      <x:c r="T109" s="10" t="str">
        <x:v>Approved testing plan</x:v>
      </x:c>
      <x:c r="U109" s="10" t="str">
        <x:v>Reconcile tagged fixtures; archive/withdraw only owned test publications. Preserve audit/financial history.</x:v>
      </x:c>
      <x:c r="V109" s="12" t="str">
        <x:f>IF(A109="","",IF(L109="Not run","Pending",IF(OR(L109="Blocked",L109="Not deployed",L109="Not applicable"),IF(OR(K109="",R109=""),"Needs explanation","Recorded"),IF(OR(L109="Pass",L109="Fail"),IF(OR(K109="",M109="",P109=""),"Needs result/evidence/build","Recorded"),"Needs valid status"))))</x:f>
        <x:v>Pending</x:v>
      </x:c>
    </x:row>
    <x:row r="110" ht="38" customHeight="1">
      <x:c r="A110" s="10" t="str">
        <x:v>QA-0106</x:v>
      </x:c>
      <x:c r="B110" s="10" t="str">
        <x:v>G. Register and onboarding</x:v>
      </x:c>
      <x:c r="C110" s="10" t="str">
        <x:v>Invitation hold</x:v>
      </x:c>
      <x:c r="D110" s="10" t="str">
        <x:v>/admin/workspaces/members /admin/workspaces/onboarding</x:v>
      </x:c>
      <x:c r="E110" s="10" t="str">
        <x:v>membership_reviewer / administrator</x:v>
      </x:c>
      <x:c r="F110" s="10" t="str">
        <x:v>P1</x:v>
      </x:c>
      <x:c r="G110" s="10" t="str">
        <x:v>Live - tagged fixture</x:v>
      </x:c>
      <x:c r="H110" s="10" t="str">
        <x:v>Record deployed build. Use assigned test accounts, synthetic data and approved fixtures/recipients only.</x:v>
      </x:c>
      <x:c r="I110" s="10" t="str">
        <x:v>Inspect imported QA held identity and mail/token tables before release.</x:v>
      </x:c>
      <x:c r="J110" s="10" t="str">
        <x:v>No activation token/job/send exists until permitted release action.</x:v>
      </x:c>
      <x:c r="K110" s="11" t="str"/>
      <x:c r="L110" s="11" t="str">
        <x:v>Not run</x:v>
      </x:c>
      <x:c r="M110" s="11" t="str"/>
      <x:c r="N110" s="11" t="str"/>
      <x:c r="O110" s="11" t="str"/>
      <x:c r="P110" s="11" t="str"/>
      <x:c r="Q110" s="11" t="str"/>
      <x:c r="R110" s="11" t="str"/>
      <x:c r="S110" s="10" t="str">
        <x:v>Browser + API + database</x:v>
      </x:c>
      <x:c r="T110" s="10" t="str">
        <x:v>Approved testing plan</x:v>
      </x:c>
      <x:c r="U110" s="10" t="str">
        <x:v>Reconcile tagged fixtures; archive/withdraw only owned test publications. Preserve audit/financial history.</x:v>
      </x:c>
      <x:c r="V110" s="12" t="str">
        <x:f>IF(A110="","",IF(L110="Not run","Pending",IF(OR(L110="Blocked",L110="Not deployed",L110="Not applicable"),IF(OR(K110="",R110=""),"Needs explanation","Recorded"),IF(OR(L110="Pass",L110="Fail"),IF(OR(K110="",M110="",P110=""),"Needs result/evidence/build","Recorded"),"Needs valid status"))))</x:f>
        <x:v>Pending</x:v>
      </x:c>
    </x:row>
    <x:row r="111" ht="38" customHeight="1">
      <x:c r="A111" s="10" t="str">
        <x:v>QA-0107</x:v>
      </x:c>
      <x:c r="B111" s="10" t="str">
        <x:v>G. Register and onboarding</x:v>
      </x:c>
      <x:c r="C111" s="10" t="str">
        <x:v>Controlled invitation release</x:v>
      </x:c>
      <x:c r="D111" s="10" t="str">
        <x:v>/admin/workspaces/members /admin/workspaces/onboarding</x:v>
      </x:c>
      <x:c r="E111" s="10" t="str">
        <x:v>membership_reviewer / administrator</x:v>
      </x:c>
      <x:c r="F111" s="10" t="str">
        <x:v>P1</x:v>
      </x:c>
      <x:c r="G111" s="10" t="str">
        <x:v>Live - tagged fixture</x:v>
      </x:c>
      <x:c r="H111" s="10" t="str">
        <x:v>Record deployed build. Use assigned test accounts, synthetic data and approved fixtures/recipients only.</x:v>
      </x:c>
      <x:c r="I111" s="10" t="str">
        <x:v>Review exact QA recipients then explicitly confirm approved test release.</x:v>
      </x:c>
      <x:c r="J111" s="10" t="str">
        <x:v>Only reviewed recipients get one invitation; activation/login completes.</x:v>
      </x:c>
      <x:c r="K111" s="11" t="str"/>
      <x:c r="L111" s="11" t="str">
        <x:v>Not run</x:v>
      </x:c>
      <x:c r="M111" s="11" t="str"/>
      <x:c r="N111" s="11" t="str"/>
      <x:c r="O111" s="11" t="str"/>
      <x:c r="P111" s="11" t="str"/>
      <x:c r="Q111" s="11" t="str"/>
      <x:c r="R111" s="11" t="str"/>
      <x:c r="S111" s="10" t="str">
        <x:v>Browser + API + database</x:v>
      </x:c>
      <x:c r="T111" s="10" t="str">
        <x:v>Approved testing plan</x:v>
      </x:c>
      <x:c r="U111" s="10" t="str">
        <x:v>Reconcile tagged fixtures; archive/withdraw only owned test publications. Preserve audit/financial history.</x:v>
      </x:c>
      <x:c r="V111" s="12" t="str">
        <x:f>IF(A111="","",IF(L111="Not run","Pending",IF(OR(L111="Blocked",L111="Not deployed",L111="Not applicable"),IF(OR(K111="",R111=""),"Needs explanation","Recorded"),IF(OR(L111="Pass",L111="Fail"),IF(OR(K111="",M111="",P111=""),"Needs result/evidence/build","Recorded"),"Needs valid status"))))</x:f>
        <x:v>Pending</x:v>
      </x:c>
    </x:row>
    <x:row r="112" ht="38" customHeight="1">
      <x:c r="A112" s="10" t="str">
        <x:v>QA-0108</x:v>
      </x:c>
      <x:c r="B112" s="10" t="str">
        <x:v>G. Register and onboarding</x:v>
      </x:c>
      <x:c r="C112" s="10" t="str">
        <x:v>Credential preservation</x:v>
      </x:c>
      <x:c r="D112" s="10" t="str">
        <x:v>/admin/workspaces/members /admin/workspaces/onboarding</x:v>
      </x:c>
      <x:c r="E112" s="10" t="str">
        <x:v>membership_reviewer / administrator</x:v>
      </x:c>
      <x:c r="F112" s="10" t="str">
        <x:v>P1</x:v>
      </x:c>
      <x:c r="G112" s="10" t="str">
        <x:v>Live - tagged fixture</x:v>
      </x:c>
      <x:c r="H112" s="10" t="str">
        <x:v>Record deployed build. Use assigned test accounts, synthetic data and approved fixtures/recipients only.</x:v>
      </x:c>
      <x:c r="I112" s="10" t="str">
        <x:v>Compare existing QA identity links and credential hashes before/after supported import.</x:v>
      </x:c>
      <x:c r="J112" s="10" t="str">
        <x:v>No silent account merge, password overwrite or unrelated identity change.</x:v>
      </x:c>
      <x:c r="K112" s="11" t="str"/>
      <x:c r="L112" s="11" t="str">
        <x:v>Not run</x:v>
      </x:c>
      <x:c r="M112" s="11" t="str"/>
      <x:c r="N112" s="11" t="str"/>
      <x:c r="O112" s="11" t="str"/>
      <x:c r="P112" s="11" t="str"/>
      <x:c r="Q112" s="11" t="str"/>
      <x:c r="R112" s="11" t="str"/>
      <x:c r="S112" s="10" t="str">
        <x:v>Browser + API + database</x:v>
      </x:c>
      <x:c r="T112" s="10" t="str">
        <x:v>Approved testing plan</x:v>
      </x:c>
      <x:c r="U112" s="10" t="str">
        <x:v>Reconcile tagged fixtures; archive/withdraw only owned test publications. Preserve audit/financial history.</x:v>
      </x:c>
      <x:c r="V112" s="12" t="str">
        <x:f>IF(A112="","",IF(L112="Not run","Pending",IF(OR(L112="Blocked",L112="Not deployed",L112="Not applicable"),IF(OR(K112="",R112=""),"Needs explanation","Recorded"),IF(OR(L112="Pass",L112="Fail"),IF(OR(K112="",M112="",P112=""),"Needs result/evidence/build","Recorded"),"Needs valid status"))))</x:f>
        <x:v>Pending</x:v>
      </x:c>
    </x:row>
    <x:row r="113" ht="38" customHeight="1">
      <x:c r="A113" s="10" t="str">
        <x:v>QA-0109</x:v>
      </x:c>
      <x:c r="B113" s="10" t="str">
        <x:v>H. Event creation and booking</x:v>
      </x:c>
      <x:c r="C113" s="10" t="str">
        <x:v>Free event draft</x:v>
      </x:c>
      <x:c r="D113" s="10" t="str">
        <x:v>/admin/workspaces/events /events/[id] /member/events</x:v>
      </x:c>
      <x:c r="E113" s="10" t="str">
        <x:v>event_operator / member</x:v>
      </x:c>
      <x:c r="F113" s="10" t="str">
        <x:v>P1</x:v>
      </x:c>
      <x:c r="G113" s="10" t="str">
        <x:v>Live - tagged fixture</x:v>
      </x:c>
      <x:c r="H113" s="10" t="str">
        <x:v>Record deployed build. Use assigned test accounts, synthetic data and approved fixtures/recipients only.</x:v>
      </x:c>
      <x:c r="I113" s="10" t="str">
        <x:v>Create tagged free event with venue, valid IST dates, capacity and booking window.</x:v>
      </x:c>
      <x:c r="J113" s="10" t="str">
        <x:v>Draft persists; no public publication or payment requirement.</x:v>
      </x:c>
      <x:c r="K113" s="11" t="str"/>
      <x:c r="L113" s="11" t="str">
        <x:v>Not run</x:v>
      </x:c>
      <x:c r="M113" s="11" t="str"/>
      <x:c r="N113" s="11" t="str"/>
      <x:c r="O113" s="11" t="str"/>
      <x:c r="P113" s="11" t="str"/>
      <x:c r="Q113" s="11" t="str"/>
      <x:c r="R113" s="11" t="str"/>
      <x:c r="S113" s="10" t="str">
        <x:v>Browser + API + database</x:v>
      </x:c>
      <x:c r="T113" s="10" t="str">
        <x:v>Approved testing plan</x:v>
      </x:c>
      <x:c r="U113" s="10" t="str">
        <x:v>Reconcile tagged fixtures; archive/withdraw only owned test publications. Preserve audit/financial history.</x:v>
      </x:c>
      <x:c r="V113" s="12" t="str">
        <x:f>IF(A113="","",IF(L113="Not run","Pending",IF(OR(L113="Blocked",L113="Not deployed",L113="Not applicable"),IF(OR(K113="",R113=""),"Needs explanation","Recorded"),IF(OR(L113="Pass",L113="Fail"),IF(OR(K113="",M113="",P113=""),"Needs result/evidence/build","Recorded"),"Needs valid status"))))</x:f>
        <x:v>Pending</x:v>
      </x:c>
    </x:row>
    <x:row r="114" ht="38" customHeight="1">
      <x:c r="A114" s="10" t="str">
        <x:v>QA-0110</x:v>
      </x:c>
      <x:c r="B114" s="10" t="str">
        <x:v>H. Event creation and booking</x:v>
      </x:c>
      <x:c r="C114" s="10" t="str">
        <x:v>Paid event draft</x:v>
      </x:c>
      <x:c r="D114" s="10" t="str">
        <x:v>/admin/workspaces/events /events/[id] /member/events</x:v>
      </x:c>
      <x:c r="E114" s="10" t="str">
        <x:v>event_operator / member</x:v>
      </x:c>
      <x:c r="F114" s="10" t="str">
        <x:v>P1</x:v>
      </x:c>
      <x:c r="G114" s="10" t="str">
        <x:v>Live - tagged fixture</x:v>
      </x:c>
      <x:c r="H114" s="10" t="str">
        <x:v>Record deployed build. Use assigned test accounts, synthetic data and approved fixtures/recipients only.</x:v>
      </x:c>
      <x:c r="I114" s="10" t="str">
        <x:v>Create tagged paid event with fee, selected payment account and joining details.</x:v>
      </x:c>
      <x:c r="J114" s="10" t="str">
        <x:v>Amounts/instructions saved correctly; publication remains explicit.</x:v>
      </x:c>
      <x:c r="K114" s="11" t="str"/>
      <x:c r="L114" s="11" t="str">
        <x:v>Not run</x:v>
      </x:c>
      <x:c r="M114" s="11" t="str"/>
      <x:c r="N114" s="11" t="str"/>
      <x:c r="O114" s="11" t="str"/>
      <x:c r="P114" s="11" t="str"/>
      <x:c r="Q114" s="11" t="str"/>
      <x:c r="R114" s="11" t="str"/>
      <x:c r="S114" s="10" t="str">
        <x:v>Browser + API + database</x:v>
      </x:c>
      <x:c r="T114" s="10" t="str">
        <x:v>Approved testing plan</x:v>
      </x:c>
      <x:c r="U114" s="10" t="str">
        <x:v>Reconcile tagged fixtures; archive/withdraw only owned test publications. Preserve audit/financial history.</x:v>
      </x:c>
      <x:c r="V114" s="12" t="str">
        <x:f>IF(A114="","",IF(L114="Not run","Pending",IF(OR(L114="Blocked",L114="Not deployed",L114="Not applicable"),IF(OR(K114="",R114=""),"Needs explanation","Recorded"),IF(OR(L114="Pass",L114="Fail"),IF(OR(K114="",M114="",P114=""),"Needs result/evidence/build","Recorded"),"Needs valid status"))))</x:f>
        <x:v>Pending</x:v>
      </x:c>
    </x:row>
    <x:row r="115" ht="38" customHeight="1">
      <x:c r="A115" s="10" t="str">
        <x:v>QA-0111</x:v>
      </x:c>
      <x:c r="B115" s="10" t="str">
        <x:v>H. Event creation and booking</x:v>
      </x:c>
      <x:c r="C115" s="10" t="str">
        <x:v>Invalid event dates</x:v>
      </x:c>
      <x:c r="D115" s="10" t="str">
        <x:v>/admin/workspaces/events /events/[id] /member/events</x:v>
      </x:c>
      <x:c r="E115" s="10" t="str">
        <x:v>event_operator / member</x:v>
      </x:c>
      <x:c r="F115" s="10" t="str">
        <x:v>P1</x:v>
      </x:c>
      <x:c r="G115" s="10" t="str">
        <x:v>Live - tagged fixture</x:v>
      </x:c>
      <x:c r="H115" s="10" t="str">
        <x:v>Record deployed build. Use assigned test accounts, synthetic data and approved fixtures/recipients only.</x:v>
      </x:c>
      <x:c r="I115" s="10" t="str">
        <x:v>Try end before start, invalid booking order and unsupported date values.</x:v>
      </x:c>
      <x:c r="J115" s="10" t="str">
        <x:v>Server validation rejects invalid event state.</x:v>
      </x:c>
      <x:c r="K115" s="11" t="str"/>
      <x:c r="L115" s="11" t="str">
        <x:v>Not run</x:v>
      </x:c>
      <x:c r="M115" s="11" t="str"/>
      <x:c r="N115" s="11" t="str"/>
      <x:c r="O115" s="11" t="str"/>
      <x:c r="P115" s="11" t="str"/>
      <x:c r="Q115" s="11" t="str"/>
      <x:c r="R115" s="11" t="str"/>
      <x:c r="S115" s="10" t="str">
        <x:v>Browser + API + database</x:v>
      </x:c>
      <x:c r="T115" s="10" t="str">
        <x:v>Approved testing plan</x:v>
      </x:c>
      <x:c r="U115" s="10" t="str">
        <x:v>Reconcile tagged fixtures; archive/withdraw only owned test publications. Preserve audit/financial history.</x:v>
      </x:c>
      <x:c r="V115" s="12" t="str">
        <x:f>IF(A115="","",IF(L115="Not run","Pending",IF(OR(L115="Blocked",L115="Not deployed",L115="Not applicable"),IF(OR(K115="",R115=""),"Needs explanation","Recorded"),IF(OR(L115="Pass",L115="Fail"),IF(OR(K115="",M115="",P115=""),"Needs result/evidence/build","Recorded"),"Needs valid status"))))</x:f>
        <x:v>Pending</x:v>
      </x:c>
    </x:row>
    <x:row r="116" ht="38" customHeight="1">
      <x:c r="A116" s="10" t="str">
        <x:v>QA-0112</x:v>
      </x:c>
      <x:c r="B116" s="10" t="str">
        <x:v>H. Event creation and booking</x:v>
      </x:c>
      <x:c r="C116" s="10" t="str">
        <x:v>Fee and capacity boundaries</x:v>
      </x:c>
      <x:c r="D116" s="10" t="str">
        <x:v>/admin/workspaces/events /events/[id] /member/events</x:v>
      </x:c>
      <x:c r="E116" s="10" t="str">
        <x:v>event_operator / member</x:v>
      </x:c>
      <x:c r="F116" s="10" t="str">
        <x:v>P1</x:v>
      </x:c>
      <x:c r="G116" s="10" t="str">
        <x:v>Isolated only</x:v>
      </x:c>
      <x:c r="H116" s="10" t="str">
        <x:v>Record deployed build. Use assigned test accounts, synthetic data and approved fixtures/recipients only.</x:v>
      </x:c>
      <x:c r="I116" s="10" t="str">
        <x:v>Test permitted minimum/maximum values and invalid values in isolated fixtures.</x:v>
      </x:c>
      <x:c r="J116" s="10" t="str">
        <x:v>Integer/precision/capacity rules enforced consistently.</x:v>
      </x:c>
      <x:c r="K116" s="11" t="str"/>
      <x:c r="L116" s="11" t="str">
        <x:v>Not run</x:v>
      </x:c>
      <x:c r="M116" s="11" t="str"/>
      <x:c r="N116" s="11" t="str"/>
      <x:c r="O116" s="11" t="str"/>
      <x:c r="P116" s="11" t="str"/>
      <x:c r="Q116" s="11" t="str"/>
      <x:c r="R116" s="11" t="str"/>
      <x:c r="S116" s="10" t="str">
        <x:v>Browser + API + database</x:v>
      </x:c>
      <x:c r="T116" s="10" t="str">
        <x:v>Approved testing plan</x:v>
      </x:c>
      <x:c r="U116" s="10" t="str">
        <x:v>Reconcile tagged fixtures; archive/withdraw only owned test publications. Preserve audit/financial history.</x:v>
      </x:c>
      <x:c r="V116" s="12" t="str">
        <x:f>IF(A116="","",IF(L116="Not run","Pending",IF(OR(L116="Blocked",L116="Not deployed",L116="Not applicable"),IF(OR(K116="",R116=""),"Needs explanation","Recorded"),IF(OR(L116="Pass",L116="Fail"),IF(OR(K116="",M116="",P116=""),"Needs result/evidence/build","Recorded"),"Needs valid status"))))</x:f>
        <x:v>Pending</x:v>
      </x:c>
    </x:row>
    <x:row r="117" ht="38" customHeight="1">
      <x:c r="A117" s="10" t="str">
        <x:v>QA-0113</x:v>
      </x:c>
      <x:c r="B117" s="10" t="str">
        <x:v>H. Event creation and booking</x:v>
      </x:c>
      <x:c r="C117" s="10" t="str">
        <x:v>Speaker add</x:v>
      </x:c>
      <x:c r="D117" s="10" t="str">
        <x:v>/admin/workspaces/events /events/[id] /member/events</x:v>
      </x:c>
      <x:c r="E117" s="10" t="str">
        <x:v>event_operator / member</x:v>
      </x:c>
      <x:c r="F117" s="10" t="str">
        <x:v>P1</x:v>
      </x:c>
      <x:c r="G117" s="10" t="str">
        <x:v>Live - tagged fixture</x:v>
      </x:c>
      <x:c r="H117" s="10" t="str">
        <x:v>Record deployed build. Use assigned test accounts, synthetic data and approved fixtures/recipients only.</x:v>
      </x:c>
      <x:c r="I117" s="10" t="str">
        <x:v>Add supported speaker records with names/credentials.</x:v>
      </x:c>
      <x:c r="J117" s="10" t="str">
        <x:v>Canonical event speaker list persists and is reused in views/flyers.</x:v>
      </x:c>
      <x:c r="K117" s="11" t="str"/>
      <x:c r="L117" s="11" t="str">
        <x:v>Not run</x:v>
      </x:c>
      <x:c r="M117" s="11" t="str"/>
      <x:c r="N117" s="11" t="str"/>
      <x:c r="O117" s="11" t="str"/>
      <x:c r="P117" s="11" t="str"/>
      <x:c r="Q117" s="11" t="str"/>
      <x:c r="R117" s="11" t="str"/>
      <x:c r="S117" s="10" t="str">
        <x:v>Browser + API + database</x:v>
      </x:c>
      <x:c r="T117" s="10" t="str">
        <x:v>Approved testing plan</x:v>
      </x:c>
      <x:c r="U117" s="10" t="str">
        <x:v>Reconcile tagged fixtures; archive/withdraw only owned test publications. Preserve audit/financial history.</x:v>
      </x:c>
      <x:c r="V117" s="12" t="str">
        <x:f>IF(A117="","",IF(L117="Not run","Pending",IF(OR(L117="Blocked",L117="Not deployed",L117="Not applicable"),IF(OR(K117="",R117=""),"Needs explanation","Recorded"),IF(OR(L117="Pass",L117="Fail"),IF(OR(K117="",M117="",P117=""),"Needs result/evidence/build","Recorded"),"Needs valid status"))))</x:f>
        <x:v>Pending</x:v>
      </x:c>
    </x:row>
    <x:row r="118" ht="38" customHeight="1">
      <x:c r="A118" s="10" t="str">
        <x:v>QA-0114</x:v>
      </x:c>
      <x:c r="B118" s="10" t="str">
        <x:v>H. Event creation and booking</x:v>
      </x:c>
      <x:c r="C118" s="10" t="str">
        <x:v>Speaker edit remove reorder</x:v>
      </x:c>
      <x:c r="D118" s="10" t="str">
        <x:v>/admin/workspaces/events /events/[id] /member/events</x:v>
      </x:c>
      <x:c r="E118" s="10" t="str">
        <x:v>event_operator / member</x:v>
      </x:c>
      <x:c r="F118" s="10" t="str">
        <x:v>P1</x:v>
      </x:c>
      <x:c r="G118" s="10" t="str">
        <x:v>Live - tagged fixture</x:v>
      </x:c>
      <x:c r="H118" s="10" t="str">
        <x:v>Record deployed build. Use assigned test accounts, synthetic data and approved fixtures/recipients only.</x:v>
      </x:c>
      <x:c r="I118" s="10" t="str">
        <x:v>Change speaker text/order and remove a QA speaker.</x:v>
      </x:c>
      <x:c r="J118" s="10" t="str">
        <x:v>Ordered list stays consistent across previews and exports.</x:v>
      </x:c>
      <x:c r="K118" s="11" t="str"/>
      <x:c r="L118" s="11" t="str">
        <x:v>Not run</x:v>
      </x:c>
      <x:c r="M118" s="11" t="str"/>
      <x:c r="N118" s="11" t="str"/>
      <x:c r="O118" s="11" t="str"/>
      <x:c r="P118" s="11" t="str"/>
      <x:c r="Q118" s="11" t="str"/>
      <x:c r="R118" s="11" t="str"/>
      <x:c r="S118" s="10" t="str">
        <x:v>Browser + API + database</x:v>
      </x:c>
      <x:c r="T118" s="10" t="str">
        <x:v>Approved testing plan</x:v>
      </x:c>
      <x:c r="U118" s="10" t="str">
        <x:v>Reconcile tagged fixtures; archive/withdraw only owned test publications. Preserve audit/financial history.</x:v>
      </x:c>
      <x:c r="V118" s="12" t="str">
        <x:f>IF(A118="","",IF(L118="Not run","Pending",IF(OR(L118="Blocked",L118="Not deployed",L118="Not applicable"),IF(OR(K118="",R118=""),"Needs explanation","Recorded"),IF(OR(L118="Pass",L118="Fail"),IF(OR(K118="",M118="",P118=""),"Needs result/evidence/build","Recorded"),"Needs valid status"))))</x:f>
        <x:v>Pending</x:v>
      </x:c>
    </x:row>
    <x:row r="119" ht="38" customHeight="1">
      <x:c r="A119" s="10" t="str">
        <x:v>QA-0115</x:v>
      </x:c>
      <x:c r="B119" s="10" t="str">
        <x:v>H. Event creation and booking</x:v>
      </x:c>
      <x:c r="C119" s="10" t="str">
        <x:v>Speaker count and long text</x:v>
      </x:c>
      <x:c r="D119" s="10" t="str">
        <x:v>/admin/workspaces/events /events/[id] /member/events</x:v>
      </x:c>
      <x:c r="E119" s="10" t="str">
        <x:v>event_operator / member</x:v>
      </x:c>
      <x:c r="F119" s="10" t="str">
        <x:v>P1</x:v>
      </x:c>
      <x:c r="G119" s="10" t="str">
        <x:v>Live - tagged fixture</x:v>
      </x:c>
      <x:c r="H119" s="10" t="str">
        <x:v>Record deployed build. Use assigned test accounts, synthetic data and approved fixtures/recipients only.</x:v>
      </x:c>
      <x:c r="I119" s="10" t="str">
        <x:v>Exercise 1/2/3/6 speakers, maximum text and unsupported extra speaker.</x:v>
      </x:c>
      <x:c r="J119" s="10" t="str">
        <x:v>Supported layouts remain readable; unsupported input is clearly rejected.</x:v>
      </x:c>
      <x:c r="K119" s="11" t="str"/>
      <x:c r="L119" s="11" t="str">
        <x:v>Not run</x:v>
      </x:c>
      <x:c r="M119" s="11" t="str"/>
      <x:c r="N119" s="11" t="str"/>
      <x:c r="O119" s="11" t="str"/>
      <x:c r="P119" s="11" t="str"/>
      <x:c r="Q119" s="11" t="str"/>
      <x:c r="R119" s="11" t="str"/>
      <x:c r="S119" s="10" t="str">
        <x:v>Browser + API + database</x:v>
      </x:c>
      <x:c r="T119" s="10" t="str">
        <x:v>Approved testing plan</x:v>
      </x:c>
      <x:c r="U119" s="10" t="str">
        <x:v>Reconcile tagged fixtures; archive/withdraw only owned test publications. Preserve audit/financial history.</x:v>
      </x:c>
      <x:c r="V119" s="12" t="str">
        <x:f>IF(A119="","",IF(L119="Not run","Pending",IF(OR(L119="Blocked",L119="Not deployed",L119="Not applicable"),IF(OR(K119="",R119=""),"Needs explanation","Recorded"),IF(OR(L119="Pass",L119="Fail"),IF(OR(K119="",M119="",P119=""),"Needs result/evidence/build","Recorded"),"Needs valid status"))))</x:f>
        <x:v>Pending</x:v>
      </x:c>
    </x:row>
    <x:row r="120" ht="38" customHeight="1">
      <x:c r="A120" s="10" t="str">
        <x:v>QA-0116</x:v>
      </x:c>
      <x:c r="B120" s="10" t="str">
        <x:v>H. Event creation and booking</x:v>
      </x:c>
      <x:c r="C120" s="10" t="str">
        <x:v>Publish event</x:v>
      </x:c>
      <x:c r="D120" s="10" t="str">
        <x:v>/admin/workspaces/events /events/[id] /member/events</x:v>
      </x:c>
      <x:c r="E120" s="10" t="str">
        <x:v>event_operator / member</x:v>
      </x:c>
      <x:c r="F120" s="10" t="str">
        <x:v>P1</x:v>
      </x:c>
      <x:c r="G120" s="10" t="str">
        <x:v>Live - tagged fixture</x:v>
      </x:c>
      <x:c r="H120" s="10" t="str">
        <x:v>Record deployed build. Use assigned test accounts, synthetic data and approved fixtures/recipients only.</x:v>
      </x:c>
      <x:c r="I120" s="10" t="str">
        <x:v>Preview and explicitly publish a saved tagged event.</x:v>
      </x:c>
      <x:c r="J120" s="10" t="str">
        <x:v>Correct visibility and canonical facts appear on intended listing/detail pages.</x:v>
      </x:c>
      <x:c r="K120" s="11" t="str"/>
      <x:c r="L120" s="11" t="str">
        <x:v>Not run</x:v>
      </x:c>
      <x:c r="M120" s="11" t="str"/>
      <x:c r="N120" s="11" t="str"/>
      <x:c r="O120" s="11" t="str"/>
      <x:c r="P120" s="11" t="str"/>
      <x:c r="Q120" s="11" t="str"/>
      <x:c r="R120" s="11" t="str"/>
      <x:c r="S120" s="10" t="str">
        <x:v>Browser + API + database</x:v>
      </x:c>
      <x:c r="T120" s="10" t="str">
        <x:v>Approved testing plan</x:v>
      </x:c>
      <x:c r="U120" s="10" t="str">
        <x:v>Reconcile tagged fixtures; archive/withdraw only owned test publications. Preserve audit/financial history.</x:v>
      </x:c>
      <x:c r="V120" s="12" t="str">
        <x:f>IF(A120="","",IF(L120="Not run","Pending",IF(OR(L120="Blocked",L120="Not deployed",L120="Not applicable"),IF(OR(K120="",R120=""),"Needs explanation","Recorded"),IF(OR(L120="Pass",L120="Fail"),IF(OR(K120="",M120="",P120=""),"Needs result/evidence/build","Recorded"),"Needs valid status"))))</x:f>
        <x:v>Pending</x:v>
      </x:c>
    </x:row>
    <x:row r="121" ht="38" customHeight="1">
      <x:c r="A121" s="10" t="str">
        <x:v>QA-0117</x:v>
      </x:c>
      <x:c r="B121" s="10" t="str">
        <x:v>H. Event creation and booking</x:v>
      </x:c>
      <x:c r="C121" s="10" t="str">
        <x:v>Member-only continuation</x:v>
      </x:c>
      <x:c r="D121" s="10" t="str">
        <x:v>/admin/workspaces/events /events/[id] /member/events</x:v>
      </x:c>
      <x:c r="E121" s="10" t="str">
        <x:v>event_operator / member</x:v>
      </x:c>
      <x:c r="F121" s="10" t="str">
        <x:v>P1</x:v>
      </x:c>
      <x:c r="G121" s="10" t="str">
        <x:v>Live - tagged fixture</x:v>
      </x:c>
      <x:c r="H121" s="10" t="str">
        <x:v>Record deployed build. Use assigned test accounts, synthetic data and approved fixtures/recipients only.</x:v>
      </x:c>
      <x:c r="I121" s="10" t="str">
        <x:v>Open restricted event link signed out, sign in/signup as QA account.</x:v>
      </x:c>
      <x:c r="J121" s="10" t="str">
        <x:v>Selected event continues correctly without granting unrelated access.</x:v>
      </x:c>
      <x:c r="K121" s="11" t="str"/>
      <x:c r="L121" s="11" t="str">
        <x:v>Not run</x:v>
      </x:c>
      <x:c r="M121" s="11" t="str"/>
      <x:c r="N121" s="11" t="str"/>
      <x:c r="O121" s="11" t="str"/>
      <x:c r="P121" s="11" t="str"/>
      <x:c r="Q121" s="11" t="str"/>
      <x:c r="R121" s="11" t="str"/>
      <x:c r="S121" s="10" t="str">
        <x:v>Browser + API + database</x:v>
      </x:c>
      <x:c r="T121" s="10" t="str">
        <x:v>Approved testing plan</x:v>
      </x:c>
      <x:c r="U121" s="10" t="str">
        <x:v>Reconcile tagged fixtures; archive/withdraw only owned test publications. Preserve audit/financial history.</x:v>
      </x:c>
      <x:c r="V121" s="12" t="str">
        <x:f>IF(A121="","",IF(L121="Not run","Pending",IF(OR(L121="Blocked",L121="Not deployed",L121="Not applicable"),IF(OR(K121="",R121=""),"Needs explanation","Recorded"),IF(OR(L121="Pass",L121="Fail"),IF(OR(K121="",M121="",P121=""),"Needs result/evidence/build","Recorded"),"Needs valid status"))))</x:f>
        <x:v>Pending</x:v>
      </x:c>
    </x:row>
    <x:row r="122" ht="38" customHeight="1">
      <x:c r="A122" s="10" t="str">
        <x:v>QA-0118</x:v>
      </x:c>
      <x:c r="B122" s="10" t="str">
        <x:v>H. Event creation and booking</x:v>
      </x:c>
      <x:c r="C122" s="10" t="str">
        <x:v>Single registration</x:v>
      </x:c>
      <x:c r="D122" s="10" t="str">
        <x:v>/admin/workspaces/events /events/[id] /member/events</x:v>
      </x:c>
      <x:c r="E122" s="10" t="str">
        <x:v>event_operator / member</x:v>
      </x:c>
      <x:c r="F122" s="10" t="str">
        <x:v>P1</x:v>
      </x:c>
      <x:c r="G122" s="10" t="str">
        <x:v>Live - tagged fixture</x:v>
      </x:c>
      <x:c r="H122" s="10" t="str">
        <x:v>Record deployed build. Use assigned test accounts, synthetic data and approved fixtures/recipients only.</x:v>
      </x:c>
      <x:c r="I122" s="10" t="str">
        <x:v>Register QA member for a published available event.</x:v>
      </x:c>
      <x:c r="J122" s="10" t="str">
        <x:v>One active booking with correct fee/payment state and confirmation job.</x:v>
      </x:c>
      <x:c r="K122" s="11" t="str"/>
      <x:c r="L122" s="11" t="str">
        <x:v>Not run</x:v>
      </x:c>
      <x:c r="M122" s="11" t="str"/>
      <x:c r="N122" s="11" t="str"/>
      <x:c r="O122" s="11" t="str"/>
      <x:c r="P122" s="11" t="str"/>
      <x:c r="Q122" s="11" t="str"/>
      <x:c r="R122" s="11" t="str"/>
      <x:c r="S122" s="10" t="str">
        <x:v>Browser + API + database</x:v>
      </x:c>
      <x:c r="T122" s="10" t="str">
        <x:v>Approved testing plan</x:v>
      </x:c>
      <x:c r="U122" s="10" t="str">
        <x:v>Reconcile tagged fixtures; archive/withdraw only owned test publications. Preserve audit/financial history.</x:v>
      </x:c>
      <x:c r="V122" s="12" t="str">
        <x:f>IF(A122="","",IF(L122="Not run","Pending",IF(OR(L122="Blocked",L122="Not deployed",L122="Not applicable"),IF(OR(K122="",R122=""),"Needs explanation","Recorded"),IF(OR(L122="Pass",L122="Fail"),IF(OR(K122="",M122="",P122=""),"Needs result/evidence/build","Recorded"),"Needs valid status"))))</x:f>
        <x:v>Pending</x:v>
      </x:c>
    </x:row>
    <x:row r="123" ht="38" customHeight="1">
      <x:c r="A123" s="10" t="str">
        <x:v>QA-0119</x:v>
      </x:c>
      <x:c r="B123" s="10" t="str">
        <x:v>H. Event creation and booking</x:v>
      </x:c>
      <x:c r="C123" s="10" t="str">
        <x:v>Duplicate registration retry</x:v>
      </x:c>
      <x:c r="D123" s="10" t="str">
        <x:v>/admin/workspaces/events /events/[id] /member/events</x:v>
      </x:c>
      <x:c r="E123" s="10" t="str">
        <x:v>event_operator / member</x:v>
      </x:c>
      <x:c r="F123" s="10" t="str">
        <x:v>P1</x:v>
      </x:c>
      <x:c r="G123" s="10" t="str">
        <x:v>Live - tagged fixture</x:v>
      </x:c>
      <x:c r="H123" s="10" t="str">
        <x:v>Record deployed build. Use assigned test accounts, synthetic data and approved fixtures/recipients only.</x:v>
      </x:c>
      <x:c r="I123" s="10" t="str">
        <x:v>Double-click and repeat same QA registration after refresh.</x:v>
      </x:c>
      <x:c r="J123" s="10" t="str">
        <x:v>One logical booking and no duplicate confirmation.</x:v>
      </x:c>
      <x:c r="K123" s="11" t="str"/>
      <x:c r="L123" s="11" t="str">
        <x:v>Not run</x:v>
      </x:c>
      <x:c r="M123" s="11" t="str"/>
      <x:c r="N123" s="11" t="str"/>
      <x:c r="O123" s="11" t="str"/>
      <x:c r="P123" s="11" t="str"/>
      <x:c r="Q123" s="11" t="str"/>
      <x:c r="R123" s="11" t="str"/>
      <x:c r="S123" s="10" t="str">
        <x:v>Browser + API + database</x:v>
      </x:c>
      <x:c r="T123" s="10" t="str">
        <x:v>Approved testing plan</x:v>
      </x:c>
      <x:c r="U123" s="10" t="str">
        <x:v>Reconcile tagged fixtures; archive/withdraw only owned test publications. Preserve audit/financial history.</x:v>
      </x:c>
      <x:c r="V123" s="12" t="str">
        <x:f>IF(A123="","",IF(L123="Not run","Pending",IF(OR(L123="Blocked",L123="Not deployed",L123="Not applicable"),IF(OR(K123="",R123=""),"Needs explanation","Recorded"),IF(OR(L123="Pass",L123="Fail"),IF(OR(K123="",M123="",P123=""),"Needs result/evidence/build","Recorded"),"Needs valid status"))))</x:f>
        <x:v>Pending</x:v>
      </x:c>
    </x:row>
    <x:row r="124" ht="38" customHeight="1">
      <x:c r="A124" s="10" t="str">
        <x:v>QA-0120</x:v>
      </x:c>
      <x:c r="B124" s="10" t="str">
        <x:v>H. Event creation and booking</x:v>
      </x:c>
      <x:c r="C124" s="10" t="str">
        <x:v>Booking before open</x:v>
      </x:c>
      <x:c r="D124" s="10" t="str">
        <x:v>/admin/workspaces/events /events/[id] /member/events</x:v>
      </x:c>
      <x:c r="E124" s="10" t="str">
        <x:v>event_operator / member</x:v>
      </x:c>
      <x:c r="F124" s="10" t="str">
        <x:v>P1</x:v>
      </x:c>
      <x:c r="G124" s="10" t="str">
        <x:v>Live - tagged fixture</x:v>
      </x:c>
      <x:c r="H124" s="10" t="str">
        <x:v>Record deployed build. Use assigned test accounts, synthetic data and approved fixtures/recipients only.</x:v>
      </x:c>
      <x:c r="I124" s="10" t="str">
        <x:v>Attempt booking on a QA event whose window has not opened.</x:v>
      </x:c>
      <x:c r="J124" s="10" t="str">
        <x:v>No booking; accurate availability message.</x:v>
      </x:c>
      <x:c r="K124" s="11" t="str"/>
      <x:c r="L124" s="11" t="str">
        <x:v>Not run</x:v>
      </x:c>
      <x:c r="M124" s="11" t="str"/>
      <x:c r="N124" s="11" t="str"/>
      <x:c r="O124" s="11" t="str"/>
      <x:c r="P124" s="11" t="str"/>
      <x:c r="Q124" s="11" t="str"/>
      <x:c r="R124" s="11" t="str"/>
      <x:c r="S124" s="10" t="str">
        <x:v>Browser + API + database</x:v>
      </x:c>
      <x:c r="T124" s="10" t="str">
        <x:v>Approved testing plan</x:v>
      </x:c>
      <x:c r="U124" s="10" t="str">
        <x:v>Reconcile tagged fixtures; archive/withdraw only owned test publications. Preserve audit/financial history.</x:v>
      </x:c>
      <x:c r="V124" s="12" t="str">
        <x:f>IF(A124="","",IF(L124="Not run","Pending",IF(OR(L124="Blocked",L124="Not deployed",L124="Not applicable"),IF(OR(K124="",R124=""),"Needs explanation","Recorded"),IF(OR(L124="Pass",L124="Fail"),IF(OR(K124="",M124="",P124=""),"Needs result/evidence/build","Recorded"),"Needs valid status"))))</x:f>
        <x:v>Pending</x:v>
      </x:c>
    </x:row>
    <x:row r="125" ht="38" customHeight="1">
      <x:c r="A125" s="10" t="str">
        <x:v>QA-0121</x:v>
      </x:c>
      <x:c r="B125" s="10" t="str">
        <x:v>H. Event creation and booking</x:v>
      </x:c>
      <x:c r="C125" s="10" t="str">
        <x:v>Booking after close</x:v>
      </x:c>
      <x:c r="D125" s="10" t="str">
        <x:v>/admin/workspaces/events /events/[id] /member/events</x:v>
      </x:c>
      <x:c r="E125" s="10" t="str">
        <x:v>event_operator / member</x:v>
      </x:c>
      <x:c r="F125" s="10" t="str">
        <x:v>P1</x:v>
      </x:c>
      <x:c r="G125" s="10" t="str">
        <x:v>Live - tagged fixture</x:v>
      </x:c>
      <x:c r="H125" s="10" t="str">
        <x:v>Record deployed build. Use assigned test accounts, synthetic data and approved fixtures/recipients only.</x:v>
      </x:c>
      <x:c r="I125" s="10" t="str">
        <x:v>Attempt booking on closed QA event.</x:v>
      </x:c>
      <x:c r="J125" s="10" t="str">
        <x:v>No booking despite stale page/direct request.</x:v>
      </x:c>
      <x:c r="K125" s="11" t="str"/>
      <x:c r="L125" s="11" t="str">
        <x:v>Not run</x:v>
      </x:c>
      <x:c r="M125" s="11" t="str"/>
      <x:c r="N125" s="11" t="str"/>
      <x:c r="O125" s="11" t="str"/>
      <x:c r="P125" s="11" t="str"/>
      <x:c r="Q125" s="11" t="str"/>
      <x:c r="R125" s="11" t="str"/>
      <x:c r="S125" s="10" t="str">
        <x:v>Browser + API + database</x:v>
      </x:c>
      <x:c r="T125" s="10" t="str">
        <x:v>Approved testing plan</x:v>
      </x:c>
      <x:c r="U125" s="10" t="str">
        <x:v>Reconcile tagged fixtures; archive/withdraw only owned test publications. Preserve audit/financial history.</x:v>
      </x:c>
      <x:c r="V125" s="12" t="str">
        <x:f>IF(A125="","",IF(L125="Not run","Pending",IF(OR(L125="Blocked",L125="Not deployed",L125="Not applicable"),IF(OR(K125="",R125=""),"Needs explanation","Recorded"),IF(OR(L125="Pass",L125="Fail"),IF(OR(K125="",M125="",P125=""),"Needs result/evidence/build","Recorded"),"Needs valid status"))))</x:f>
        <x:v>Pending</x:v>
      </x:c>
    </x:row>
    <x:row r="126" ht="38" customHeight="1">
      <x:c r="A126" s="10" t="str">
        <x:v>QA-0122</x:v>
      </x:c>
      <x:c r="B126" s="10" t="str">
        <x:v>H. Event creation and booking</x:v>
      </x:c>
      <x:c r="C126" s="10" t="str">
        <x:v>Full capacity booking</x:v>
      </x:c>
      <x:c r="D126" s="10" t="str">
        <x:v>/admin/workspaces/events /events/[id] /member/events</x:v>
      </x:c>
      <x:c r="E126" s="10" t="str">
        <x:v>event_operator / member</x:v>
      </x:c>
      <x:c r="F126" s="10" t="str">
        <x:v>P1</x:v>
      </x:c>
      <x:c r="G126" s="10" t="str">
        <x:v>Live - tagged fixture</x:v>
      </x:c>
      <x:c r="H126" s="10" t="str">
        <x:v>Record deployed build. Use assigned test accounts, synthetic data and approved fixtures/recipients only.</x:v>
      </x:c>
      <x:c r="I126" s="10" t="str">
        <x:v>Attempt booking on a full controlled fixture.</x:v>
      </x:c>
      <x:c r="J126" s="10" t="str">
        <x:v>Capacity protected; no false success.</x:v>
      </x:c>
      <x:c r="K126" s="11" t="str"/>
      <x:c r="L126" s="11" t="str">
        <x:v>Not run</x:v>
      </x:c>
      <x:c r="M126" s="11" t="str"/>
      <x:c r="N126" s="11" t="str"/>
      <x:c r="O126" s="11" t="str"/>
      <x:c r="P126" s="11" t="str"/>
      <x:c r="Q126" s="11" t="str"/>
      <x:c r="R126" s="11" t="str"/>
      <x:c r="S126" s="10" t="str">
        <x:v>Browser + API + database</x:v>
      </x:c>
      <x:c r="T126" s="10" t="str">
        <x:v>Approved testing plan</x:v>
      </x:c>
      <x:c r="U126" s="10" t="str">
        <x:v>Reconcile tagged fixtures; archive/withdraw only owned test publications. Preserve audit/financial history.</x:v>
      </x:c>
      <x:c r="V126" s="12" t="str">
        <x:f>IF(A126="","",IF(L126="Not run","Pending",IF(OR(L126="Blocked",L126="Not deployed",L126="Not applicable"),IF(OR(K126="",R126=""),"Needs explanation","Recorded"),IF(OR(L126="Pass",L126="Fail"),IF(OR(K126="",M126="",P126=""),"Needs result/evidence/build","Recorded"),"Needs valid status"))))</x:f>
        <x:v>Pending</x:v>
      </x:c>
    </x:row>
    <x:row r="127" ht="38" customHeight="1">
      <x:c r="A127" s="10" t="str">
        <x:v>QA-0123</x:v>
      </x:c>
      <x:c r="B127" s="10" t="str">
        <x:v>H. Event creation and booking</x:v>
      </x:c>
      <x:c r="C127" s="10" t="str">
        <x:v>Cancelled event booking</x:v>
      </x:c>
      <x:c r="D127" s="10" t="str">
        <x:v>/admin/workspaces/events /events/[id] /member/events</x:v>
      </x:c>
      <x:c r="E127" s="10" t="str">
        <x:v>event_operator / member</x:v>
      </x:c>
      <x:c r="F127" s="10" t="str">
        <x:v>P1</x:v>
      </x:c>
      <x:c r="G127" s="10" t="str">
        <x:v>Live - tagged fixture</x:v>
      </x:c>
      <x:c r="H127" s="10" t="str">
        <x:v>Record deployed build. Use assigned test accounts, synthetic data and approved fixtures/recipients only.</x:v>
      </x:c>
      <x:c r="I127" s="10" t="str">
        <x:v>Attempt booking on cancelled QA event.</x:v>
      </x:c>
      <x:c r="J127" s="10" t="str">
        <x:v>No new booking and clear cancellation state.</x:v>
      </x:c>
      <x:c r="K127" s="11" t="str"/>
      <x:c r="L127" s="11" t="str">
        <x:v>Not run</x:v>
      </x:c>
      <x:c r="M127" s="11" t="str"/>
      <x:c r="N127" s="11" t="str"/>
      <x:c r="O127" s="11" t="str"/>
      <x:c r="P127" s="11" t="str"/>
      <x:c r="Q127" s="11" t="str"/>
      <x:c r="R127" s="11" t="str"/>
      <x:c r="S127" s="10" t="str">
        <x:v>Browser + API + database</x:v>
      </x:c>
      <x:c r="T127" s="10" t="str">
        <x:v>Approved testing plan</x:v>
      </x:c>
      <x:c r="U127" s="10" t="str">
        <x:v>Reconcile tagged fixtures; archive/withdraw only owned test publications. Preserve audit/financial history.</x:v>
      </x:c>
      <x:c r="V127" s="12" t="str">
        <x:f>IF(A127="","",IF(L127="Not run","Pending",IF(OR(L127="Blocked",L127="Not deployed",L127="Not applicable"),IF(OR(K127="",R127=""),"Needs explanation","Recorded"),IF(OR(L127="Pass",L127="Fail"),IF(OR(K127="",M127="",P127=""),"Needs result/evidence/build","Recorded"),"Needs valid status"))))</x:f>
        <x:v>Pending</x:v>
      </x:c>
    </x:row>
    <x:row r="128" ht="38" customHeight="1">
      <x:c r="A128" s="10" t="str">
        <x:v>QA-0124</x:v>
      </x:c>
      <x:c r="B128" s="10" t="str">
        <x:v>H. Event creation and booking</x:v>
      </x:c>
      <x:c r="C128" s="10" t="str">
        <x:v>Last-seat race</x:v>
      </x:c>
      <x:c r="D128" s="10" t="str">
        <x:v>/admin/workspaces/events /events/[id] /member/events</x:v>
      </x:c>
      <x:c r="E128" s="10" t="str">
        <x:v>event_operator / member</x:v>
      </x:c>
      <x:c r="F128" s="10" t="str">
        <x:v>P1</x:v>
      </x:c>
      <x:c r="G128" s="10" t="str">
        <x:v>Isolated only</x:v>
      </x:c>
      <x:c r="H128" s="10" t="str">
        <x:v>Record deployed build. Use assigned test accounts, synthetic data and approved fixtures/recipients only.</x:v>
      </x:c>
      <x:c r="I128" s="10" t="str">
        <x:v>Submit two concurrent isolated registrations for one remaining seat.</x:v>
      </x:c>
      <x:c r="J128" s="10" t="str">
        <x:v>At most one succeeds; active count never exceeds capacity.</x:v>
      </x:c>
      <x:c r="K128" s="11" t="str"/>
      <x:c r="L128" s="11" t="str">
        <x:v>Not run</x:v>
      </x:c>
      <x:c r="M128" s="11" t="str"/>
      <x:c r="N128" s="11" t="str"/>
      <x:c r="O128" s="11" t="str"/>
      <x:c r="P128" s="11" t="str"/>
      <x:c r="Q128" s="11" t="str"/>
      <x:c r="R128" s="11" t="str"/>
      <x:c r="S128" s="10" t="str">
        <x:v>Browser + API + database</x:v>
      </x:c>
      <x:c r="T128" s="10" t="str">
        <x:v>Approved testing plan</x:v>
      </x:c>
      <x:c r="U128" s="10" t="str">
        <x:v>Reconcile tagged fixtures; archive/withdraw only owned test publications. Preserve audit/financial history.</x:v>
      </x:c>
      <x:c r="V128" s="12" t="str">
        <x:f>IF(A128="","",IF(L128="Not run","Pending",IF(OR(L128="Blocked",L128="Not deployed",L128="Not applicable"),IF(OR(K128="",R128=""),"Needs explanation","Recorded"),IF(OR(L128="Pass",L128="Fail"),IF(OR(K128="",M128="",P128=""),"Needs result/evidence/build","Recorded"),"Needs valid status"))))</x:f>
        <x:v>Pending</x:v>
      </x:c>
    </x:row>
    <x:row r="129" ht="38" customHeight="1">
      <x:c r="A129" s="10" t="str">
        <x:v>QA-0125</x:v>
      </x:c>
      <x:c r="B129" s="10" t="str">
        <x:v>H. Event creation and booking</x:v>
      </x:c>
      <x:c r="C129" s="10" t="str">
        <x:v>Member cancellation</x:v>
      </x:c>
      <x:c r="D129" s="10" t="str">
        <x:v>/admin/workspaces/events /events/[id] /member/events</x:v>
      </x:c>
      <x:c r="E129" s="10" t="str">
        <x:v>event_operator / member</x:v>
      </x:c>
      <x:c r="F129" s="10" t="str">
        <x:v>P1</x:v>
      </x:c>
      <x:c r="G129" s="10" t="str">
        <x:v>Live - tagged fixture</x:v>
      </x:c>
      <x:c r="H129" s="10" t="str">
        <x:v>Record deployed build. Use assigned test accounts, synthetic data and approved fixtures/recipients only.</x:v>
      </x:c>
      <x:c r="I129" s="10" t="str">
        <x:v>Cancel tagged registration and repeat request.</x:v>
      </x:c>
      <x:c r="J129" s="10" t="str">
        <x:v>Capacity/history/mail update once; payment/refund states remain accurate.</x:v>
      </x:c>
      <x:c r="K129" s="11" t="str"/>
      <x:c r="L129" s="11" t="str">
        <x:v>Not run</x:v>
      </x:c>
      <x:c r="M129" s="11" t="str"/>
      <x:c r="N129" s="11" t="str"/>
      <x:c r="O129" s="11" t="str"/>
      <x:c r="P129" s="11" t="str"/>
      <x:c r="Q129" s="11" t="str"/>
      <x:c r="R129" s="11" t="str"/>
      <x:c r="S129" s="10" t="str">
        <x:v>Browser + API + database</x:v>
      </x:c>
      <x:c r="T129" s="10" t="str">
        <x:v>Approved testing plan</x:v>
      </x:c>
      <x:c r="U129" s="10" t="str">
        <x:v>Reconcile tagged fixtures; archive/withdraw only owned test publications. Preserve audit/financial history.</x:v>
      </x:c>
      <x:c r="V129" s="12" t="str">
        <x:f>IF(A129="","",IF(L129="Not run","Pending",IF(OR(L129="Blocked",L129="Not deployed",L129="Not applicable"),IF(OR(K129="",R129=""),"Needs explanation","Recorded"),IF(OR(L129="Pass",L129="Fail"),IF(OR(K129="",M129="",P129=""),"Needs result/evidence/build","Recorded"),"Needs valid status"))))</x:f>
        <x:v>Pending</x:v>
      </x:c>
    </x:row>
    <x:row r="130" ht="38" customHeight="1">
      <x:c r="A130" s="10" t="str">
        <x:v>QA-0126</x:v>
      </x:c>
      <x:c r="B130" s="10" t="str">
        <x:v>H. Event creation and booking</x:v>
      </x:c>
      <x:c r="C130" s="10" t="str">
        <x:v>Rebooking</x:v>
      </x:c>
      <x:c r="D130" s="10" t="str">
        <x:v>/admin/workspaces/events /events/[id] /member/events</x:v>
      </x:c>
      <x:c r="E130" s="10" t="str">
        <x:v>event_operator / member</x:v>
      </x:c>
      <x:c r="F130" s="10" t="str">
        <x:v>P1</x:v>
      </x:c>
      <x:c r="G130" s="10" t="str">
        <x:v>Live - tagged fixture</x:v>
      </x:c>
      <x:c r="H130" s="10" t="str">
        <x:v>Record deployed build. Use assigned test accounts, synthetic data and approved fixtures/recipients only.</x:v>
      </x:c>
      <x:c r="I130" s="10" t="str">
        <x:v>Rebook eligible cancelled QA registration.</x:v>
      </x:c>
      <x:c r="J130" s="10" t="str">
        <x:v>New booking revision invalidates obsolete jobs; correct current state.</x:v>
      </x:c>
      <x:c r="K130" s="11" t="str"/>
      <x:c r="L130" s="11" t="str">
        <x:v>Not run</x:v>
      </x:c>
      <x:c r="M130" s="11" t="str"/>
      <x:c r="N130" s="11" t="str"/>
      <x:c r="O130" s="11" t="str"/>
      <x:c r="P130" s="11" t="str"/>
      <x:c r="Q130" s="11" t="str"/>
      <x:c r="R130" s="11" t="str"/>
      <x:c r="S130" s="10" t="str">
        <x:v>Browser + API + database</x:v>
      </x:c>
      <x:c r="T130" s="10" t="str">
        <x:v>Approved testing plan</x:v>
      </x:c>
      <x:c r="U130" s="10" t="str">
        <x:v>Reconcile tagged fixtures; archive/withdraw only owned test publications. Preserve audit/financial history.</x:v>
      </x:c>
      <x:c r="V130" s="12" t="str">
        <x:f>IF(A130="","",IF(L130="Not run","Pending",IF(OR(L130="Blocked",L130="Not deployed",L130="Not applicable"),IF(OR(K130="",R130=""),"Needs explanation","Recorded"),IF(OR(L130="Pass",L130="Fail"),IF(OR(K130="",M130="",P130=""),"Needs result/evidence/build","Recorded"),"Needs valid status"))))</x:f>
        <x:v>Pending</x:v>
      </x:c>
    </x:row>
    <x:row r="131" ht="38" customHeight="1">
      <x:c r="A131" s="10" t="str">
        <x:v>QA-0127</x:v>
      </x:c>
      <x:c r="B131" s="10" t="str">
        <x:v>H. Event creation and booking</x:v>
      </x:c>
      <x:c r="C131" s="10" t="str">
        <x:v>Published fact changes</x:v>
      </x:c>
      <x:c r="D131" s="10" t="str">
        <x:v>/admin/workspaces/events /events/[id] /member/events</x:v>
      </x:c>
      <x:c r="E131" s="10" t="str">
        <x:v>event_operator / member</x:v>
      </x:c>
      <x:c r="F131" s="10" t="str">
        <x:v>P1</x:v>
      </x:c>
      <x:c r="G131" s="10" t="str">
        <x:v>Live - tagged fixture</x:v>
      </x:c>
      <x:c r="H131" s="10" t="str">
        <x:v>Record deployed build. Use assigned test accounts, synthetic data and approved fixtures/recipients only.</x:v>
      </x:c>
      <x:c r="I131" s="10" t="str">
        <x:v>Change only permitted event fields and compare existing booking/payment snapshots.</x:v>
      </x:c>
      <x:c r="J131" s="10" t="str">
        <x:v>Historical obligations preserved and current publication follows policy.</x:v>
      </x:c>
      <x:c r="K131" s="11" t="str"/>
      <x:c r="L131" s="11" t="str">
        <x:v>Not run</x:v>
      </x:c>
      <x:c r="M131" s="11" t="str"/>
      <x:c r="N131" s="11" t="str"/>
      <x:c r="O131" s="11" t="str"/>
      <x:c r="P131" s="11" t="str"/>
      <x:c r="Q131" s="11" t="str"/>
      <x:c r="R131" s="11" t="str"/>
      <x:c r="S131" s="10" t="str">
        <x:v>Browser + API + database</x:v>
      </x:c>
      <x:c r="T131" s="10" t="str">
        <x:v>Approved testing plan</x:v>
      </x:c>
      <x:c r="U131" s="10" t="str">
        <x:v>Reconcile tagged fixtures; archive/withdraw only owned test publications. Preserve audit/financial history.</x:v>
      </x:c>
      <x:c r="V131" s="12" t="str">
        <x:f>IF(A131="","",IF(L131="Not run","Pending",IF(OR(L131="Blocked",L131="Not deployed",L131="Not applicable"),IF(OR(K131="",R131=""),"Needs explanation","Recorded"),IF(OR(L131="Pass",L131="Fail"),IF(OR(K131="",M131="",P131=""),"Needs result/evidence/build","Recorded"),"Needs valid status"))))</x:f>
        <x:v>Pending</x:v>
      </x:c>
    </x:row>
    <x:row r="132" ht="38" customHeight="1">
      <x:c r="A132" s="10" t="str">
        <x:v>QA-0128</x:v>
      </x:c>
      <x:c r="B132" s="10" t="str">
        <x:v>I. Payments and financials</x:v>
      </x:c>
      <x:c r="C132" s="10" t="str">
        <x:v>Payment instruction display</x:v>
      </x:c>
      <x:c r="D132" s="10" t="str">
        <x:v>/admin/workspaces/payments /admin/workspaces/events /member/payments</x:v>
      </x:c>
      <x:c r="E132" s="10" t="str">
        <x:v>finance_operator / member</x:v>
      </x:c>
      <x:c r="F132" s="10" t="str">
        <x:v>P0</x:v>
      </x:c>
      <x:c r="G132" s="10" t="str">
        <x:v>Live - tagged fixture</x:v>
      </x:c>
      <x:c r="H132" s="10" t="str">
        <x:v>Record deployed build. Use assigned test accounts, synthetic data and approved fixtures/recipients only.</x:v>
      </x:c>
      <x:c r="I132" s="10" t="str">
        <x:v>Compare QA booking amount/payee/UPI/bank/QR/reference to selected snapshot.</x:v>
      </x:c>
      <x:c r="J132" s="10" t="str">
        <x:v>All details match intended payment revision and member booking.</x:v>
      </x:c>
      <x:c r="K132" s="11" t="str"/>
      <x:c r="L132" s="11" t="str">
        <x:v>Not run</x:v>
      </x:c>
      <x:c r="M132" s="11" t="str"/>
      <x:c r="N132" s="11" t="str"/>
      <x:c r="O132" s="11" t="str"/>
      <x:c r="P132" s="11" t="str"/>
      <x:c r="Q132" s="11" t="str"/>
      <x:c r="R132" s="11" t="str"/>
      <x:c r="S132" s="10" t="str">
        <x:v>Browser + API + database</x:v>
      </x:c>
      <x:c r="T132" s="10" t="str">
        <x:v>Approved testing plan</x:v>
      </x:c>
      <x:c r="U132" s="10" t="str">
        <x:v>Reconcile tagged fixtures; archive/withdraw only owned test publications. Preserve audit/financial history.</x:v>
      </x:c>
      <x:c r="V132" s="12" t="str">
        <x:f>IF(A132="","",IF(L132="Not run","Pending",IF(OR(L132="Blocked",L132="Not deployed",L132="Not applicable"),IF(OR(K132="",R132=""),"Needs explanation","Recorded"),IF(OR(L132="Pass",L132="Fail"),IF(OR(K132="",M132="",P132=""),"Needs result/evidence/build","Recorded"),"Needs valid status"))))</x:f>
        <x:v>Pending</x:v>
      </x:c>
    </x:row>
    <x:row r="133" ht="38" customHeight="1">
      <x:c r="A133" s="10" t="str">
        <x:v>QA-0129</x:v>
      </x:c>
      <x:c r="B133" s="10" t="str">
        <x:v>I. Payments and financials</x:v>
      </x:c>
      <x:c r="C133" s="10" t="str">
        <x:v>Submit payment reference</x:v>
      </x:c>
      <x:c r="D133" s="10" t="str">
        <x:v>/admin/workspaces/payments /admin/workspaces/events /member/payments</x:v>
      </x:c>
      <x:c r="E133" s="10" t="str">
        <x:v>finance_operator / member</x:v>
      </x:c>
      <x:c r="F133" s="10" t="str">
        <x:v>P0</x:v>
      </x:c>
      <x:c r="G133" s="10" t="str">
        <x:v>Live - tagged fixture</x:v>
      </x:c>
      <x:c r="H133" s="10" t="str">
        <x:v>Record deployed build. Use assigned test accounts, synthetic data and approved fixtures/recipients only.</x:v>
      </x:c>
      <x:c r="I133" s="10" t="str">
        <x:v>Submit synthetic reference on approved tagged booking.</x:v>
      </x:c>
      <x:c r="J133" s="10" t="str">
        <x:v>Pending/manual-review state only; no automatic paid status.</x:v>
      </x:c>
      <x:c r="K133" s="11" t="str"/>
      <x:c r="L133" s="11" t="str">
        <x:v>Not run</x:v>
      </x:c>
      <x:c r="M133" s="11" t="str"/>
      <x:c r="N133" s="11" t="str"/>
      <x:c r="O133" s="11" t="str"/>
      <x:c r="P133" s="11" t="str"/>
      <x:c r="Q133" s="11" t="str"/>
      <x:c r="R133" s="11" t="str"/>
      <x:c r="S133" s="10" t="str">
        <x:v>Browser + API + database</x:v>
      </x:c>
      <x:c r="T133" s="10" t="str">
        <x:v>Approved testing plan</x:v>
      </x:c>
      <x:c r="U133" s="10" t="str">
        <x:v>Reconcile tagged fixtures; archive/withdraw only owned test publications. Preserve audit/financial history.</x:v>
      </x:c>
      <x:c r="V133" s="12" t="str">
        <x:f>IF(A133="","",IF(L133="Not run","Pending",IF(OR(L133="Blocked",L133="Not deployed",L133="Not applicable"),IF(OR(K133="",R133=""),"Needs explanation","Recorded"),IF(OR(L133="Pass",L133="Fail"),IF(OR(K133="",M133="",P133=""),"Needs result/evidence/build","Recorded"),"Needs valid status"))))</x:f>
        <x:v>Pending</x:v>
      </x:c>
    </x:row>
    <x:row r="134" ht="38" customHeight="1">
      <x:c r="A134" s="10" t="str">
        <x:v>QA-0130</x:v>
      </x:c>
      <x:c r="B134" s="10" t="str">
        <x:v>I. Payments and financials</x:v>
      </x:c>
      <x:c r="C134" s="10" t="str">
        <x:v>Manual payment confirmation</x:v>
      </x:c>
      <x:c r="D134" s="10" t="str">
        <x:v>/admin/workspaces/payments /admin/workspaces/events /member/payments</x:v>
      </x:c>
      <x:c r="E134" s="10" t="str">
        <x:v>finance_operator / member</x:v>
      </x:c>
      <x:c r="F134" s="10" t="str">
        <x:v>P0</x:v>
      </x:c>
      <x:c r="G134" s="10" t="str">
        <x:v>Live - tagged fixture</x:v>
      </x:c>
      <x:c r="H134" s="10" t="str">
        <x:v>Record deployed build. Use assigned test accounts, synthetic data and approved fixtures/recipients only.</x:v>
      </x:c>
      <x:c r="I134" s="10" t="str">
        <x:v>Finance confirms a designated synthetic QA booking through UI.</x:v>
      </x:c>
      <x:c r="J134" s="10" t="str">
        <x:v>Correct paid transition, actor/time/history and applicable confirmation mail; no actual transfer implied.</x:v>
      </x:c>
      <x:c r="K134" s="11" t="str"/>
      <x:c r="L134" s="11" t="str">
        <x:v>Not run</x:v>
      </x:c>
      <x:c r="M134" s="11" t="str"/>
      <x:c r="N134" s="11" t="str"/>
      <x:c r="O134" s="11" t="str"/>
      <x:c r="P134" s="11" t="str"/>
      <x:c r="Q134" s="11" t="str"/>
      <x:c r="R134" s="11" t="str"/>
      <x:c r="S134" s="10" t="str">
        <x:v>Browser + API + database</x:v>
      </x:c>
      <x:c r="T134" s="10" t="str">
        <x:v>Approved testing plan</x:v>
      </x:c>
      <x:c r="U134" s="10" t="str">
        <x:v>Reconcile tagged fixtures; archive/withdraw only owned test publications. Preserve audit/financial history.</x:v>
      </x:c>
      <x:c r="V134" s="12" t="str">
        <x:f>IF(A134="","",IF(L134="Not run","Pending",IF(OR(L134="Blocked",L134="Not deployed",L134="Not applicable"),IF(OR(K134="",R134=""),"Needs explanation","Recorded"),IF(OR(L134="Pass",L134="Fail"),IF(OR(K134="",M134="",P134=""),"Needs result/evidence/build","Recorded"),"Needs valid status"))))</x:f>
        <x:v>Pending</x:v>
      </x:c>
    </x:row>
    <x:row r="135" ht="38" customHeight="1">
      <x:c r="A135" s="10" t="str">
        <x:v>QA-0131</x:v>
      </x:c>
      <x:c r="B135" s="10" t="str">
        <x:v>I. Payments and financials</x:v>
      </x:c>
      <x:c r="C135" s="10" t="str">
        <x:v>Payment rejection</x:v>
      </x:c>
      <x:c r="D135" s="10" t="str">
        <x:v>/admin/workspaces/payments /admin/workspaces/events /member/payments</x:v>
      </x:c>
      <x:c r="E135" s="10" t="str">
        <x:v>finance_operator / member</x:v>
      </x:c>
      <x:c r="F135" s="10" t="str">
        <x:v>P0</x:v>
      </x:c>
      <x:c r="G135" s="10" t="str">
        <x:v>Live - tagged fixture</x:v>
      </x:c>
      <x:c r="H135" s="10" t="str">
        <x:v>Record deployed build. Use assigned test accounts, synthetic data and approved fixtures/recipients only.</x:v>
      </x:c>
      <x:c r="I135" s="10" t="str">
        <x:v>Reject a separate pending QA reference with reason.</x:v>
      </x:c>
      <x:c r="J135" s="10" t="str">
        <x:v>Accurate status and feedback; no falsely paid record.</x:v>
      </x:c>
      <x:c r="K135" s="11" t="str"/>
      <x:c r="L135" s="11" t="str">
        <x:v>Not run</x:v>
      </x:c>
      <x:c r="M135" s="11" t="str"/>
      <x:c r="N135" s="11" t="str"/>
      <x:c r="O135" s="11" t="str"/>
      <x:c r="P135" s="11" t="str"/>
      <x:c r="Q135" s="11" t="str"/>
      <x:c r="R135" s="11" t="str"/>
      <x:c r="S135" s="10" t="str">
        <x:v>Browser + API + database</x:v>
      </x:c>
      <x:c r="T135" s="10" t="str">
        <x:v>Approved testing plan</x:v>
      </x:c>
      <x:c r="U135" s="10" t="str">
        <x:v>Reconcile tagged fixtures; archive/withdraw only owned test publications. Preserve audit/financial history.</x:v>
      </x:c>
      <x:c r="V135" s="12" t="str">
        <x:f>IF(A135="","",IF(L135="Not run","Pending",IF(OR(L135="Blocked",L135="Not deployed",L135="Not applicable"),IF(OR(K135="",R135=""),"Needs explanation","Recorded"),IF(OR(L135="Pass",L135="Fail"),IF(OR(K135="",M135="",P135=""),"Needs result/evidence/build","Recorded"),"Needs valid status"))))</x:f>
        <x:v>Pending</x:v>
      </x:c>
    </x:row>
    <x:row r="136" ht="38" customHeight="1">
      <x:c r="A136" s="10" t="str">
        <x:v>QA-0132</x:v>
      </x:c>
      <x:c r="B136" s="10" t="str">
        <x:v>I. Payments and financials</x:v>
      </x:c>
      <x:c r="C136" s="10" t="str">
        <x:v>Repeated payment confirmation</x:v>
      </x:c>
      <x:c r="D136" s="10" t="str">
        <x:v>/admin/workspaces/payments /admin/workspaces/events /member/payments</x:v>
      </x:c>
      <x:c r="E136" s="10" t="str">
        <x:v>finance_operator / member</x:v>
      </x:c>
      <x:c r="F136" s="10" t="str">
        <x:v>P0</x:v>
      </x:c>
      <x:c r="G136" s="10" t="str">
        <x:v>Live - tagged fixture</x:v>
      </x:c>
      <x:c r="H136" s="10" t="str">
        <x:v>Record deployed build. Use assigned test accounts, synthetic data and approved fixtures/recipients only.</x:v>
      </x:c>
      <x:c r="I136" s="10" t="str">
        <x:v>Repeat confirmed QA transition and inspect jobs/history.</x:v>
      </x:c>
      <x:c r="J136" s="10" t="str">
        <x:v>No duplicated financial movement or notification.</x:v>
      </x:c>
      <x:c r="K136" s="11" t="str"/>
      <x:c r="L136" s="11" t="str">
        <x:v>Not run</x:v>
      </x:c>
      <x:c r="M136" s="11" t="str"/>
      <x:c r="N136" s="11" t="str"/>
      <x:c r="O136" s="11" t="str"/>
      <x:c r="P136" s="11" t="str"/>
      <x:c r="Q136" s="11" t="str"/>
      <x:c r="R136" s="11" t="str"/>
      <x:c r="S136" s="10" t="str">
        <x:v>Browser + API + database</x:v>
      </x:c>
      <x:c r="T136" s="10" t="str">
        <x:v>Approved testing plan</x:v>
      </x:c>
      <x:c r="U136" s="10" t="str">
        <x:v>Reconcile tagged fixtures; archive/withdraw only owned test publications. Preserve audit/financial history.</x:v>
      </x:c>
      <x:c r="V136" s="12" t="str">
        <x:f>IF(A136="","",IF(L136="Not run","Pending",IF(OR(L136="Blocked",L136="Not deployed",L136="Not applicable"),IF(OR(K136="",R136=""),"Needs explanation","Recorded"),IF(OR(L136="Pass",L136="Fail"),IF(OR(K136="",M136="",P136=""),"Needs result/evidence/build","Recorded"),"Needs valid status"))))</x:f>
        <x:v>Pending</x:v>
      </x:c>
    </x:row>
    <x:row r="137" ht="38" customHeight="1">
      <x:c r="A137" s="10" t="str">
        <x:v>QA-0133</x:v>
      </x:c>
      <x:c r="B137" s="10" t="str">
        <x:v>I. Payments and financials</x:v>
      </x:c>
      <x:c r="C137" s="10" t="str">
        <x:v>Invalid payment transition</x:v>
      </x:c>
      <x:c r="D137" s="10" t="str">
        <x:v>/admin/workspaces/payments /admin/workspaces/events /member/payments</x:v>
      </x:c>
      <x:c r="E137" s="10" t="str">
        <x:v>finance_operator / member</x:v>
      </x:c>
      <x:c r="F137" s="10" t="str">
        <x:v>P0</x:v>
      </x:c>
      <x:c r="G137" s="10" t="str">
        <x:v>Live - tagged fixture</x:v>
      </x:c>
      <x:c r="H137" s="10" t="str">
        <x:v>Record deployed build. Use assigned test accounts, synthetic data and approved fixtures/recipients only.</x:v>
      </x:c>
      <x:c r="I137" s="10" t="str">
        <x:v>Attempt unsupported status change on controlled fixture.</x:v>
      </x:c>
      <x:c r="J137" s="10" t="str">
        <x:v>Server rejects; prior state/history preserved.</x:v>
      </x:c>
      <x:c r="K137" s="11" t="str"/>
      <x:c r="L137" s="11" t="str">
        <x:v>Not run</x:v>
      </x:c>
      <x:c r="M137" s="11" t="str"/>
      <x:c r="N137" s="11" t="str"/>
      <x:c r="O137" s="11" t="str"/>
      <x:c r="P137" s="11" t="str"/>
      <x:c r="Q137" s="11" t="str"/>
      <x:c r="R137" s="11" t="str"/>
      <x:c r="S137" s="10" t="str">
        <x:v>Browser + API + database</x:v>
      </x:c>
      <x:c r="T137" s="10" t="str">
        <x:v>Approved testing plan</x:v>
      </x:c>
      <x:c r="U137" s="10" t="str">
        <x:v>Reconcile tagged fixtures; archive/withdraw only owned test publications. Preserve audit/financial history.</x:v>
      </x:c>
      <x:c r="V137" s="12" t="str">
        <x:f>IF(A137="","",IF(L137="Not run","Pending",IF(OR(L137="Blocked",L137="Not deployed",L137="Not applicable"),IF(OR(K137="",R137=""),"Needs explanation","Recorded"),IF(OR(L137="Pass",L137="Fail"),IF(OR(K137="",M137="",P137=""),"Needs result/evidence/build","Recorded"),"Needs valid status"))))</x:f>
        <x:v>Pending</x:v>
      </x:c>
    </x:row>
    <x:row r="138" ht="38" customHeight="1">
      <x:c r="A138" s="10" t="str">
        <x:v>QA-0134</x:v>
      </x:c>
      <x:c r="B138" s="10" t="str">
        <x:v>I. Payments and financials</x:v>
      </x:c>
      <x:c r="C138" s="10" t="str">
        <x:v>Payment stale update</x:v>
      </x:c>
      <x:c r="D138" s="10" t="str">
        <x:v>/admin/workspaces/payments /admin/workspaces/events /member/payments</x:v>
      </x:c>
      <x:c r="E138" s="10" t="str">
        <x:v>finance_operator / member</x:v>
      </x:c>
      <x:c r="F138" s="10" t="str">
        <x:v>P0</x:v>
      </x:c>
      <x:c r="G138" s="10" t="str">
        <x:v>Live - tagged fixture</x:v>
      </x:c>
      <x:c r="H138" s="10" t="str">
        <x:v>Record deployed build. Use assigned test accounts, synthetic data and approved fixtures/recipients only.</x:v>
      </x:c>
      <x:c r="I138" s="10" t="str">
        <x:v>Two finance sessions update same QA payment version.</x:v>
      </x:c>
      <x:c r="J138" s="10" t="str">
        <x:v>Conflict prevents overwrite or contradictory confirmation.</x:v>
      </x:c>
      <x:c r="K138" s="11" t="str"/>
      <x:c r="L138" s="11" t="str">
        <x:v>Not run</x:v>
      </x:c>
      <x:c r="M138" s="11" t="str"/>
      <x:c r="N138" s="11" t="str"/>
      <x:c r="O138" s="11" t="str"/>
      <x:c r="P138" s="11" t="str"/>
      <x:c r="Q138" s="11" t="str"/>
      <x:c r="R138" s="11" t="str"/>
      <x:c r="S138" s="10" t="str">
        <x:v>Browser + API + database</x:v>
      </x:c>
      <x:c r="T138" s="10" t="str">
        <x:v>Approved testing plan</x:v>
      </x:c>
      <x:c r="U138" s="10" t="str">
        <x:v>Reconcile tagged fixtures; archive/withdraw only owned test publications. Preserve audit/financial history.</x:v>
      </x:c>
      <x:c r="V138" s="12" t="str">
        <x:f>IF(A138="","",IF(L138="Not run","Pending",IF(OR(L138="Blocked",L138="Not deployed",L138="Not applicable"),IF(OR(K138="",R138=""),"Needs explanation","Recorded"),IF(OR(L138="Pass",L138="Fail"),IF(OR(K138="",M138="",P138=""),"Needs result/evidence/build","Recorded"),"Needs valid status"))))</x:f>
        <x:v>Pending</x:v>
      </x:c>
    </x:row>
    <x:row r="139" ht="38" customHeight="1">
      <x:c r="A139" s="10" t="str">
        <x:v>QA-0135</x:v>
      </x:c>
      <x:c r="B139" s="10" t="str">
        <x:v>I. Payments and financials</x:v>
      </x:c>
      <x:c r="C139" s="10" t="str">
        <x:v>Reference corrections</x:v>
      </x:c>
      <x:c r="D139" s="10" t="str">
        <x:v>/admin/workspaces/payments /admin/workspaces/events /member/payments</x:v>
      </x:c>
      <x:c r="E139" s="10" t="str">
        <x:v>finance_operator / member</x:v>
      </x:c>
      <x:c r="F139" s="10" t="str">
        <x:v>P0</x:v>
      </x:c>
      <x:c r="G139" s="10" t="str">
        <x:v>Live - tagged fixture</x:v>
      </x:c>
      <x:c r="H139" s="10" t="str">
        <x:v>Record deployed build. Use assigned test accounts, synthetic data and approved fixtures/recipients only.</x:v>
      </x:c>
      <x:c r="I139" s="10" t="str">
        <x:v>Correct QA reference/note through supported action.</x:v>
      </x:c>
      <x:c r="J139" s="10" t="str">
        <x:v>Old and new values remain in append-only history.</x:v>
      </x:c>
      <x:c r="K139" s="11" t="str"/>
      <x:c r="L139" s="11" t="str">
        <x:v>Not run</x:v>
      </x:c>
      <x:c r="M139" s="11" t="str"/>
      <x:c r="N139" s="11" t="str"/>
      <x:c r="O139" s="11" t="str"/>
      <x:c r="P139" s="11" t="str"/>
      <x:c r="Q139" s="11" t="str"/>
      <x:c r="R139" s="11" t="str"/>
      <x:c r="S139" s="10" t="str">
        <x:v>Browser + API + database</x:v>
      </x:c>
      <x:c r="T139" s="10" t="str">
        <x:v>Approved testing plan</x:v>
      </x:c>
      <x:c r="U139" s="10" t="str">
        <x:v>Reconcile tagged fixtures; archive/withdraw only owned test publications. Preserve audit/financial history.</x:v>
      </x:c>
      <x:c r="V139" s="12" t="str">
        <x:f>IF(A139="","",IF(L139="Not run","Pending",IF(OR(L139="Blocked",L139="Not deployed",L139="Not applicable"),IF(OR(K139="",R139=""),"Needs explanation","Recorded"),IF(OR(L139="Pass",L139="Fail"),IF(OR(K139="",M139="",P139=""),"Needs result/evidence/build","Recorded"),"Needs valid status"))))</x:f>
        <x:v>Pending</x:v>
      </x:c>
    </x:row>
    <x:row r="140" ht="38" customHeight="1">
      <x:c r="A140" s="10" t="str">
        <x:v>QA-0136</x:v>
      </x:c>
      <x:c r="B140" s="10" t="str">
        <x:v>I. Payments and financials</x:v>
      </x:c>
      <x:c r="C140" s="10" t="str">
        <x:v>Payment account revision</x:v>
      </x:c>
      <x:c r="D140" s="10" t="str">
        <x:v>/admin/workspaces/payments /admin/workspaces/events /member/payments</x:v>
      </x:c>
      <x:c r="E140" s="10" t="str">
        <x:v>finance_operator / member</x:v>
      </x:c>
      <x:c r="F140" s="10" t="str">
        <x:v>P0</x:v>
      </x:c>
      <x:c r="G140" s="10" t="str">
        <x:v>Live - tagged fixture</x:v>
      </x:c>
      <x:c r="H140" s="10" t="str">
        <x:v>Record deployed build. Use assigned test accounts, synthetic data and approved fixtures/recipients only.</x:v>
      </x:c>
      <x:c r="I140" s="10" t="str">
        <x:v>Edit QA payment account and activate supported revision; inspect prior booking.</x:v>
      </x:c>
      <x:c r="J140" s="10" t="str">
        <x:v>Prior booking retains applicable historical instruction; active display updates intentionally.</x:v>
      </x:c>
      <x:c r="K140" s="11" t="str"/>
      <x:c r="L140" s="11" t="str">
        <x:v>Not run</x:v>
      </x:c>
      <x:c r="M140" s="11" t="str"/>
      <x:c r="N140" s="11" t="str"/>
      <x:c r="O140" s="11" t="str"/>
      <x:c r="P140" s="11" t="str"/>
      <x:c r="Q140" s="11" t="str"/>
      <x:c r="R140" s="11" t="str"/>
      <x:c r="S140" s="10" t="str">
        <x:v>Browser + API + database</x:v>
      </x:c>
      <x:c r="T140" s="10" t="str">
        <x:v>Approved testing plan</x:v>
      </x:c>
      <x:c r="U140" s="10" t="str">
        <x:v>Reconcile tagged fixtures; archive/withdraw only owned test publications. Preserve audit/financial history.</x:v>
      </x:c>
      <x:c r="V140" s="12" t="str">
        <x:f>IF(A140="","",IF(L140="Not run","Pending",IF(OR(L140="Blocked",L140="Not deployed",L140="Not applicable"),IF(OR(K140="",R140=""),"Needs explanation","Recorded"),IF(OR(L140="Pass",L140="Fail"),IF(OR(K140="",M140="",P140=""),"Needs result/evidence/build","Recorded"),"Needs valid status"))))</x:f>
        <x:v>Pending</x:v>
      </x:c>
    </x:row>
    <x:row r="141" ht="38" customHeight="1">
      <x:c r="A141" s="10" t="str">
        <x:v>QA-0137</x:v>
      </x:c>
      <x:c r="B141" s="10" t="str">
        <x:v>I. Payments and financials</x:v>
      </x:c>
      <x:c r="C141" s="10" t="str">
        <x:v>Paid cancellation</x:v>
      </x:c>
      <x:c r="D141" s="10" t="str">
        <x:v>/admin/workspaces/payments /admin/workspaces/events /member/payments</x:v>
      </x:c>
      <x:c r="E141" s="10" t="str">
        <x:v>finance_operator / member</x:v>
      </x:c>
      <x:c r="F141" s="10" t="str">
        <x:v>P0</x:v>
      </x:c>
      <x:c r="G141" s="10" t="str">
        <x:v>Live - tagged fixture</x:v>
      </x:c>
      <x:c r="H141" s="10" t="str">
        <x:v>Record deployed build. Use assigned test accounts, synthetic data and approved fixtures/recipients only.</x:v>
      </x:c>
      <x:c r="I141" s="10" t="str">
        <x:v>Cancel paid tagged registration.</x:v>
      </x:c>
      <x:c r="J141" s="10" t="str">
        <x:v>Receipt remains evidenced; cancellation does not fabricate refund.</x:v>
      </x:c>
      <x:c r="K141" s="11" t="str"/>
      <x:c r="L141" s="11" t="str">
        <x:v>Not run</x:v>
      </x:c>
      <x:c r="M141" s="11" t="str"/>
      <x:c r="N141" s="11" t="str"/>
      <x:c r="O141" s="11" t="str"/>
      <x:c r="P141" s="11" t="str"/>
      <x:c r="Q141" s="11" t="str"/>
      <x:c r="R141" s="11" t="str"/>
      <x:c r="S141" s="10" t="str">
        <x:v>Browser + API + database</x:v>
      </x:c>
      <x:c r="T141" s="10" t="str">
        <x:v>Approved testing plan</x:v>
      </x:c>
      <x:c r="U141" s="10" t="str">
        <x:v>Reconcile tagged fixtures; archive/withdraw only owned test publications. Preserve audit/financial history.</x:v>
      </x:c>
      <x:c r="V141" s="12" t="str">
        <x:f>IF(A141="","",IF(L141="Not run","Pending",IF(OR(L141="Blocked",L141="Not deployed",L141="Not applicable"),IF(OR(K141="",R141=""),"Needs explanation","Recorded"),IF(OR(L141="Pass",L141="Fail"),IF(OR(K141="",M141="",P141=""),"Needs result/evidence/build","Recorded"),"Needs valid status"))))</x:f>
        <x:v>Pending</x:v>
      </x:c>
    </x:row>
    <x:row r="142" ht="38" customHeight="1">
      <x:c r="A142" s="10" t="str">
        <x:v>QA-0138</x:v>
      </x:c>
      <x:c r="B142" s="10" t="str">
        <x:v>I. Payments and financials</x:v>
      </x:c>
      <x:c r="C142" s="10" t="str">
        <x:v>Record refund</x:v>
      </x:c>
      <x:c r="D142" s="10" t="str">
        <x:v>/admin/workspaces/payments /admin/workspaces/events /member/payments</x:v>
      </x:c>
      <x:c r="E142" s="10" t="str">
        <x:v>finance_operator / member</x:v>
      </x:c>
      <x:c r="F142" s="10" t="str">
        <x:v>P0</x:v>
      </x:c>
      <x:c r="G142" s="10" t="str">
        <x:v>Live - tagged fixture</x:v>
      </x:c>
      <x:c r="H142" s="10" t="str">
        <x:v>Record deployed build. Use assigned test accounts, synthetic data and approved fixtures/recipients only.</x:v>
      </x:c>
      <x:c r="I142" s="10" t="str">
        <x:v>Record synthetic QA refund through authorized workflow.</x:v>
      </x:c>
      <x:c r="J142" s="10" t="str">
        <x:v>History and financial totals update once; UI does not claim application transferred money.</x:v>
      </x:c>
      <x:c r="K142" s="11" t="str"/>
      <x:c r="L142" s="11" t="str">
        <x:v>Not run</x:v>
      </x:c>
      <x:c r="M142" s="11" t="str"/>
      <x:c r="N142" s="11" t="str"/>
      <x:c r="O142" s="11" t="str"/>
      <x:c r="P142" s="11" t="str"/>
      <x:c r="Q142" s="11" t="str"/>
      <x:c r="R142" s="11" t="str"/>
      <x:c r="S142" s="10" t="str">
        <x:v>Browser + API + database</x:v>
      </x:c>
      <x:c r="T142" s="10" t="str">
        <x:v>Approved testing plan</x:v>
      </x:c>
      <x:c r="U142" s="10" t="str">
        <x:v>Reconcile tagged fixtures; archive/withdraw only owned test publications. Preserve audit/financial history.</x:v>
      </x:c>
      <x:c r="V142" s="12" t="str">
        <x:f>IF(A142="","",IF(L142="Not run","Pending",IF(OR(L142="Blocked",L142="Not deployed",L142="Not applicable"),IF(OR(K142="",R142=""),"Needs explanation","Recorded"),IF(OR(L142="Pass",L142="Fail"),IF(OR(K142="",M142="",P142=""),"Needs result/evidence/build","Recorded"),"Needs valid status"))))</x:f>
        <x:v>Pending</x:v>
      </x:c>
    </x:row>
    <x:row r="143" ht="38" customHeight="1">
      <x:c r="A143" s="10" t="str">
        <x:v>QA-0139</x:v>
      </x:c>
      <x:c r="B143" s="10" t="str">
        <x:v>I. Payments and financials</x:v>
      </x:c>
      <x:c r="C143" s="10" t="str">
        <x:v>Expense create</x:v>
      </x:c>
      <x:c r="D143" s="10" t="str">
        <x:v>/admin/workspaces/payments /admin/workspaces/events /member/payments</x:v>
      </x:c>
      <x:c r="E143" s="10" t="str">
        <x:v>finance_operator / member</x:v>
      </x:c>
      <x:c r="F143" s="10" t="str">
        <x:v>P0</x:v>
      </x:c>
      <x:c r="G143" s="10" t="str">
        <x:v>Live - tagged fixture</x:v>
      </x:c>
      <x:c r="H143" s="10" t="str">
        <x:v>Record deployed build. Use assigned test accounts, synthetic data and approved fixtures/recipients only.</x:v>
      </x:c>
      <x:c r="I143" s="10" t="str">
        <x:v>Add tagged expense in integer paise with permitted category/date/account.</x:v>
      </x:c>
      <x:c r="J143" s="10" t="str">
        <x:v>Accurate amount and finance-only receipt/audit.</x:v>
      </x:c>
      <x:c r="K143" s="11" t="str"/>
      <x:c r="L143" s="11" t="str">
        <x:v>Not run</x:v>
      </x:c>
      <x:c r="M143" s="11" t="str"/>
      <x:c r="N143" s="11" t="str"/>
      <x:c r="O143" s="11" t="str"/>
      <x:c r="P143" s="11" t="str"/>
      <x:c r="Q143" s="11" t="str"/>
      <x:c r="R143" s="11" t="str"/>
      <x:c r="S143" s="10" t="str">
        <x:v>Browser + API + database</x:v>
      </x:c>
      <x:c r="T143" s="10" t="str">
        <x:v>Approved testing plan</x:v>
      </x:c>
      <x:c r="U143" s="10" t="str">
        <x:v>Reconcile tagged fixtures; archive/withdraw only owned test publications. Preserve audit/financial history.</x:v>
      </x:c>
      <x:c r="V143" s="12" t="str">
        <x:f>IF(A143="","",IF(L143="Not run","Pending",IF(OR(L143="Blocked",L143="Not deployed",L143="Not applicable"),IF(OR(K143="",R143=""),"Needs explanation","Recorded"),IF(OR(L143="Pass",L143="Fail"),IF(OR(K143="",M143="",P143=""),"Needs result/evidence/build","Recorded"),"Needs valid status"))))</x:f>
        <x:v>Pending</x:v>
      </x:c>
    </x:row>
    <x:row r="144" ht="38" customHeight="1">
      <x:c r="A144" s="10" t="str">
        <x:v>QA-0140</x:v>
      </x:c>
      <x:c r="B144" s="10" t="str">
        <x:v>I. Payments and financials</x:v>
      </x:c>
      <x:c r="C144" s="10" t="str">
        <x:v>Expense edit</x:v>
      </x:c>
      <x:c r="D144" s="10" t="str">
        <x:v>/admin/workspaces/payments /admin/workspaces/events /member/payments</x:v>
      </x:c>
      <x:c r="E144" s="10" t="str">
        <x:v>finance_operator / member</x:v>
      </x:c>
      <x:c r="F144" s="10" t="str">
        <x:v>P0</x:v>
      </x:c>
      <x:c r="G144" s="10" t="str">
        <x:v>Live - tagged fixture</x:v>
      </x:c>
      <x:c r="H144" s="10" t="str">
        <x:v>Record deployed build. Use assigned test accounts, synthetic data and approved fixtures/recipients only.</x:v>
      </x:c>
      <x:c r="I144" s="10" t="str">
        <x:v>Edit tagged expense and inspect previous version/history.</x:v>
      </x:c>
      <x:c r="J144" s="10" t="str">
        <x:v>Correct revised totals with retained audit.</x:v>
      </x:c>
      <x:c r="K144" s="11" t="str"/>
      <x:c r="L144" s="11" t="str">
        <x:v>Not run</x:v>
      </x:c>
      <x:c r="M144" s="11" t="str"/>
      <x:c r="N144" s="11" t="str"/>
      <x:c r="O144" s="11" t="str"/>
      <x:c r="P144" s="11" t="str"/>
      <x:c r="Q144" s="11" t="str"/>
      <x:c r="R144" s="11" t="str"/>
      <x:c r="S144" s="10" t="str">
        <x:v>Browser + API + database</x:v>
      </x:c>
      <x:c r="T144" s="10" t="str">
        <x:v>Approved testing plan</x:v>
      </x:c>
      <x:c r="U144" s="10" t="str">
        <x:v>Reconcile tagged fixtures; archive/withdraw only owned test publications. Preserve audit/financial history.</x:v>
      </x:c>
      <x:c r="V144" s="12" t="str">
        <x:f>IF(A144="","",IF(L144="Not run","Pending",IF(OR(L144="Blocked",L144="Not deployed",L144="Not applicable"),IF(OR(K144="",R144=""),"Needs explanation","Recorded"),IF(OR(L144="Pass",L144="Fail"),IF(OR(K144="",M144="",P144=""),"Needs result/evidence/build","Recorded"),"Needs valid status"))))</x:f>
        <x:v>Pending</x:v>
      </x:c>
    </x:row>
    <x:row r="145" ht="38" customHeight="1">
      <x:c r="A145" s="10" t="str">
        <x:v>QA-0141</x:v>
      </x:c>
      <x:c r="B145" s="10" t="str">
        <x:v>I. Payments and financials</x:v>
      </x:c>
      <x:c r="C145" s="10" t="str">
        <x:v>Expense void</x:v>
      </x:c>
      <x:c r="D145" s="10" t="str">
        <x:v>/admin/workspaces/payments /admin/workspaces/events /member/payments</x:v>
      </x:c>
      <x:c r="E145" s="10" t="str">
        <x:v>finance_operator / member</x:v>
      </x:c>
      <x:c r="F145" s="10" t="str">
        <x:v>P0</x:v>
      </x:c>
      <x:c r="G145" s="10" t="str">
        <x:v>Live - tagged fixture</x:v>
      </x:c>
      <x:c r="H145" s="10" t="str">
        <x:v>Record deployed build. Use assigned test accounts, synthetic data and approved fixtures/recipients only.</x:v>
      </x:c>
      <x:c r="I145" s="10" t="str">
        <x:v>Void tagged expense and repeat request.</x:v>
      </x:c>
      <x:c r="J145" s="10" t="str">
        <x:v>Expense excluded once from applicable totals; history retained.</x:v>
      </x:c>
      <x:c r="K145" s="11" t="str"/>
      <x:c r="L145" s="11" t="str">
        <x:v>Not run</x:v>
      </x:c>
      <x:c r="M145" s="11" t="str"/>
      <x:c r="N145" s="11" t="str"/>
      <x:c r="O145" s="11" t="str"/>
      <x:c r="P145" s="11" t="str"/>
      <x:c r="Q145" s="11" t="str"/>
      <x:c r="R145" s="11" t="str"/>
      <x:c r="S145" s="10" t="str">
        <x:v>Browser + API + database</x:v>
      </x:c>
      <x:c r="T145" s="10" t="str">
        <x:v>Approved testing plan</x:v>
      </x:c>
      <x:c r="U145" s="10" t="str">
        <x:v>Reconcile tagged fixtures; archive/withdraw only owned test publications. Preserve audit/financial history.</x:v>
      </x:c>
      <x:c r="V145" s="12" t="str">
        <x:f>IF(A145="","",IF(L145="Not run","Pending",IF(OR(L145="Blocked",L145="Not deployed",L145="Not applicable"),IF(OR(K145="",R145=""),"Needs explanation","Recorded"),IF(OR(L145="Pass",L145="Fail"),IF(OR(K145="",M145="",P145=""),"Needs result/evidence/build","Recorded"),"Needs valid status"))))</x:f>
        <x:v>Pending</x:v>
      </x:c>
    </x:row>
    <x:row r="146" ht="38" customHeight="1">
      <x:c r="A146" s="10" t="str">
        <x:v>QA-0142</x:v>
      </x:c>
      <x:c r="B146" s="10" t="str">
        <x:v>I. Payments and financials</x:v>
      </x:c>
      <x:c r="C146" s="10" t="str">
        <x:v>Financial reconciliation</x:v>
      </x:c>
      <x:c r="D146" s="10" t="str">
        <x:v>/admin/workspaces/payments /admin/workspaces/events /member/payments</x:v>
      </x:c>
      <x:c r="E146" s="10" t="str">
        <x:v>finance_operator / member</x:v>
      </x:c>
      <x:c r="F146" s="10" t="str">
        <x:v>P0</x:v>
      </x:c>
      <x:c r="G146" s="10" t="str">
        <x:v>Live - tagged fixture</x:v>
      </x:c>
      <x:c r="H146" s="10" t="str">
        <x:v>Record deployed build. Use assigned test accounts, synthetic data and approved fixtures/recipients only.</x:v>
      </x:c>
      <x:c r="I146" s="10" t="str">
        <x:v>Independently sum QA receipts/refunds/non-voided expenses/pending bookings.</x:v>
      </x:c>
      <x:c r="J146" s="10" t="str">
        <x:v>Net collected=receipts-refunds; net result=net collected-expenses; pending not counted as receipts.</x:v>
      </x:c>
      <x:c r="K146" s="11" t="str"/>
      <x:c r="L146" s="11" t="str">
        <x:v>Not run</x:v>
      </x:c>
      <x:c r="M146" s="11" t="str"/>
      <x:c r="N146" s="11" t="str"/>
      <x:c r="O146" s="11" t="str"/>
      <x:c r="P146" s="11" t="str"/>
      <x:c r="Q146" s="11" t="str"/>
      <x:c r="R146" s="11" t="str"/>
      <x:c r="S146" s="10" t="str">
        <x:v>Browser + API + database</x:v>
      </x:c>
      <x:c r="T146" s="10" t="str">
        <x:v>Approved testing plan</x:v>
      </x:c>
      <x:c r="U146" s="10" t="str">
        <x:v>Reconcile tagged fixtures; archive/withdraw only owned test publications. Preserve audit/financial history.</x:v>
      </x:c>
      <x:c r="V146" s="12" t="str">
        <x:f>IF(A146="","",IF(L146="Not run","Pending",IF(OR(L146="Blocked",L146="Not deployed",L146="Not applicable"),IF(OR(K146="",R146=""),"Needs explanation","Recorded"),IF(OR(L146="Pass",L146="Fail"),IF(OR(K146="",M146="",P146=""),"Needs result/evidence/build","Recorded"),"Needs valid status"))))</x:f>
        <x:v>Pending</x:v>
      </x:c>
    </x:row>
    <x:row r="147" ht="38" customHeight="1">
      <x:c r="A147" s="10" t="str">
        <x:v>QA-0143</x:v>
      </x:c>
      <x:c r="B147" s="10" t="str">
        <x:v>I. Payments and financials</x:v>
      </x:c>
      <x:c r="C147" s="10" t="str">
        <x:v>Money boundaries</x:v>
      </x:c>
      <x:c r="D147" s="10" t="str">
        <x:v>/admin/workspaces/payments /admin/workspaces/events /member/payments</x:v>
      </x:c>
      <x:c r="E147" s="10" t="str">
        <x:v>finance_operator / member</x:v>
      </x:c>
      <x:c r="F147" s="10" t="str">
        <x:v>P0</x:v>
      </x:c>
      <x:c r="G147" s="10" t="str">
        <x:v>Isolated only</x:v>
      </x:c>
      <x:c r="H147" s="10" t="str">
        <x:v>Record deployed build. Use assigned test accounts, synthetic data and approved fixtures/recipients only.</x:v>
      </x:c>
      <x:c r="I147" s="10" t="str">
        <x:v>Test paise conversion, zero where permitted, negatives, fractions and limits in isolation.</x:v>
      </x:c>
      <x:c r="J147" s="10" t="str">
        <x:v>No precision loss, unauthorized negative amount or silent rounding.</x:v>
      </x:c>
      <x:c r="K147" s="11" t="str"/>
      <x:c r="L147" s="11" t="str">
        <x:v>Not run</x:v>
      </x:c>
      <x:c r="M147" s="11" t="str"/>
      <x:c r="N147" s="11" t="str"/>
      <x:c r="O147" s="11" t="str"/>
      <x:c r="P147" s="11" t="str"/>
      <x:c r="Q147" s="11" t="str"/>
      <x:c r="R147" s="11" t="str"/>
      <x:c r="S147" s="10" t="str">
        <x:v>Browser + API + database</x:v>
      </x:c>
      <x:c r="T147" s="10" t="str">
        <x:v>Approved testing plan</x:v>
      </x:c>
      <x:c r="U147" s="10" t="str">
        <x:v>Reconcile tagged fixtures; archive/withdraw only owned test publications. Preserve audit/financial history.</x:v>
      </x:c>
      <x:c r="V147" s="12" t="str">
        <x:f>IF(A147="","",IF(L147="Not run","Pending",IF(OR(L147="Blocked",L147="Not deployed",L147="Not applicable"),IF(OR(K147="",R147=""),"Needs explanation","Recorded"),IF(OR(L147="Pass",L147="Fail"),IF(OR(K147="",M147="",P147=""),"Needs result/evidence/build","Recorded"),"Needs valid status"))))</x:f>
        <x:v>Pending</x:v>
      </x:c>
    </x:row>
    <x:row r="148" ht="38" customHeight="1">
      <x:c r="A148" s="10" t="str">
        <x:v>QA-0144</x:v>
      </x:c>
      <x:c r="B148" s="10" t="str">
        <x:v>I. Payments and financials</x:v>
      </x:c>
      <x:c r="C148" s="10" t="str">
        <x:v>Finance permission boundary</x:v>
      </x:c>
      <x:c r="D148" s="10" t="str">
        <x:v>/admin/workspaces/payments /admin/workspaces/events /member/payments</x:v>
      </x:c>
      <x:c r="E148" s="10" t="str">
        <x:v>finance_operator / member</x:v>
      </x:c>
      <x:c r="F148" s="10" t="str">
        <x:v>P0</x:v>
      </x:c>
      <x:c r="G148" s="10" t="str">
        <x:v>Live - tagged fixture</x:v>
      </x:c>
      <x:c r="H148" s="10" t="str">
        <x:v>Record deployed build. Use assigned test accounts, synthetic data and approved fixtures/recipients only.</x:v>
      </x:c>
      <x:c r="I148" s="10" t="str">
        <x:v>Open financial/receipt API as event_operator without finance role.</x:v>
      </x:c>
      <x:c r="J148" s="10" t="str">
        <x:v>Finance details/history/receipt bytes remain inaccessible.</x:v>
      </x:c>
      <x:c r="K148" s="11" t="str"/>
      <x:c r="L148" s="11" t="str">
        <x:v>Not run</x:v>
      </x:c>
      <x:c r="M148" s="11" t="str"/>
      <x:c r="N148" s="11" t="str"/>
      <x:c r="O148" s="11" t="str"/>
      <x:c r="P148" s="11" t="str"/>
      <x:c r="Q148" s="11" t="str"/>
      <x:c r="R148" s="11" t="str"/>
      <x:c r="S148" s="10" t="str">
        <x:v>Browser + API + database</x:v>
      </x:c>
      <x:c r="T148" s="10" t="str">
        <x:v>Approved testing plan</x:v>
      </x:c>
      <x:c r="U148" s="10" t="str">
        <x:v>Reconcile tagged fixtures; archive/withdraw only owned test publications. Preserve audit/financial history.</x:v>
      </x:c>
      <x:c r="V148" s="12" t="str">
        <x:f>IF(A148="","",IF(L148="Not run","Pending",IF(OR(L148="Blocked",L148="Not deployed",L148="Not applicable"),IF(OR(K148="",R148=""),"Needs explanation","Recorded"),IF(OR(L148="Pass",L148="Fail"),IF(OR(K148="",M148="",P148=""),"Needs result/evidence/build","Recorded"),"Needs valid status"))))</x:f>
        <x:v>Pending</x:v>
      </x:c>
    </x:row>
    <x:row r="149" ht="38" customHeight="1">
      <x:c r="A149" s="10" t="str">
        <x:v>QA-0145</x:v>
      </x:c>
      <x:c r="B149" s="10" t="str">
        <x:v>J. Event operations</x:v>
      </x:c>
      <x:c r="C149" s="10" t="str">
        <x:v>Event lifecycle stages</x:v>
      </x:c>
      <x:c r="D149" s="10" t="str">
        <x:v>/admin/workspaces/events /member/events</x:v>
      </x:c>
      <x:c r="E149" s="10" t="str">
        <x:v>event_operator / finance_operator / member</x:v>
      </x:c>
      <x:c r="F149" s="10" t="str">
        <x:v>P1</x:v>
      </x:c>
      <x:c r="G149" s="10" t="str">
        <x:v>Isolated only</x:v>
      </x:c>
      <x:c r="H149" s="10" t="str">
        <x:v>Record deployed build. Use assigned test accounts, synthetic data and approved fixtures/recipients only.</x:v>
      </x:c>
      <x:c r="I149" s="10" t="str">
        <x:v>Use isolated timed fixtures for Draft, Scheduled, Open, Closed, Live, Past, Cancelled, Completed and Archived.</x:v>
      </x:c>
      <x:c r="J149" s="10" t="str">
        <x:v>Stage labels/actions follow dates and operational state.</x:v>
      </x:c>
      <x:c r="K149" s="11" t="str"/>
      <x:c r="L149" s="11" t="str">
        <x:v>Not run</x:v>
      </x:c>
      <x:c r="M149" s="11" t="str"/>
      <x:c r="N149" s="11" t="str"/>
      <x:c r="O149" s="11" t="str"/>
      <x:c r="P149" s="11" t="str"/>
      <x:c r="Q149" s="11" t="str"/>
      <x:c r="R149" s="11" t="str"/>
      <x:c r="S149" s="10" t="str">
        <x:v>Browser + API + database</x:v>
      </x:c>
      <x:c r="T149" s="10" t="str">
        <x:v>Approved testing plan</x:v>
      </x:c>
      <x:c r="U149" s="10" t="str">
        <x:v>Reconcile tagged fixtures; archive/withdraw only owned test publications. Preserve audit/financial history.</x:v>
      </x:c>
      <x:c r="V149" s="12" t="str">
        <x:f>IF(A149="","",IF(L149="Not run","Pending",IF(OR(L149="Blocked",L149="Not deployed",L149="Not applicable"),IF(OR(K149="",R149=""),"Needs explanation","Recorded"),IF(OR(L149="Pass",L149="Fail"),IF(OR(K149="",M149="",P149=""),"Needs result/evidence/build","Recorded"),"Needs valid status"))))</x:f>
        <x:v>Pending</x:v>
      </x:c>
    </x:row>
    <x:row r="150" ht="38" customHeight="1">
      <x:c r="A150" s="10" t="str">
        <x:v>QA-0146</x:v>
      </x:c>
      <x:c r="B150" s="10" t="str">
        <x:v>J. Event operations</x:v>
      </x:c>
      <x:c r="C150" s="10" t="str">
        <x:v>Attendance present</x:v>
      </x:c>
      <x:c r="D150" s="10" t="str">
        <x:v>/admin/workspaces/events /member/events</x:v>
      </x:c>
      <x:c r="E150" s="10" t="str">
        <x:v>event_operator / finance_operator / member</x:v>
      </x:c>
      <x:c r="F150" s="10" t="str">
        <x:v>P1</x:v>
      </x:c>
      <x:c r="G150" s="10" t="str">
        <x:v>Live - tagged fixture</x:v>
      </x:c>
      <x:c r="H150" s="10" t="str">
        <x:v>Record deployed build. Use assigned test accounts, synthetic data and approved fixtures/recipients only.</x:v>
      </x:c>
      <x:c r="I150" s="10" t="str">
        <x:v>Mark QA registrant present with supported evidence/time.</x:v>
      </x:c>
      <x:c r="J150" s="10" t="str">
        <x:v>One correct attendance outcome and history.</x:v>
      </x:c>
      <x:c r="K150" s="11" t="str"/>
      <x:c r="L150" s="11" t="str">
        <x:v>Not run</x:v>
      </x:c>
      <x:c r="M150" s="11" t="str"/>
      <x:c r="N150" s="11" t="str"/>
      <x:c r="O150" s="11" t="str"/>
      <x:c r="P150" s="11" t="str"/>
      <x:c r="Q150" s="11" t="str"/>
      <x:c r="R150" s="11" t="str"/>
      <x:c r="S150" s="10" t="str">
        <x:v>Browser + API + database</x:v>
      </x:c>
      <x:c r="T150" s="10" t="str">
        <x:v>Approved testing plan</x:v>
      </x:c>
      <x:c r="U150" s="10" t="str">
        <x:v>Reconcile tagged fixtures; archive/withdraw only owned test publications. Preserve audit/financial history.</x:v>
      </x:c>
      <x:c r="V150" s="12" t="str">
        <x:f>IF(A150="","",IF(L150="Not run","Pending",IF(OR(L150="Blocked",L150="Not deployed",L150="Not applicable"),IF(OR(K150="",R150=""),"Needs explanation","Recorded"),IF(OR(L150="Pass",L150="Fail"),IF(OR(K150="",M150="",P150=""),"Needs result/evidence/build","Recorded"),"Needs valid status"))))</x:f>
        <x:v>Pending</x:v>
      </x:c>
    </x:row>
    <x:row r="151" ht="38" customHeight="1">
      <x:c r="A151" s="10" t="str">
        <x:v>QA-0147</x:v>
      </x:c>
      <x:c r="B151" s="10" t="str">
        <x:v>J. Event operations</x:v>
      </x:c>
      <x:c r="C151" s="10" t="str">
        <x:v>Attendance absent</x:v>
      </x:c>
      <x:c r="D151" s="10" t="str">
        <x:v>/admin/workspaces/events /member/events</x:v>
      </x:c>
      <x:c r="E151" s="10" t="str">
        <x:v>event_operator / finance_operator / member</x:v>
      </x:c>
      <x:c r="F151" s="10" t="str">
        <x:v>P1</x:v>
      </x:c>
      <x:c r="G151" s="10" t="str">
        <x:v>Live - tagged fixture</x:v>
      </x:c>
      <x:c r="H151" s="10" t="str">
        <x:v>Record deployed build. Use assigned test accounts, synthetic data and approved fixtures/recipients only.</x:v>
      </x:c>
      <x:c r="I151" s="10" t="str">
        <x:v>Mark another QA registrant absent/unmarked.</x:v>
      </x:c>
      <x:c r="J151" s="10" t="str">
        <x:v>No attendance benefit is awarded.</x:v>
      </x:c>
      <x:c r="K151" s="11" t="str"/>
      <x:c r="L151" s="11" t="str">
        <x:v>Not run</x:v>
      </x:c>
      <x:c r="M151" s="11" t="str"/>
      <x:c r="N151" s="11" t="str"/>
      <x:c r="O151" s="11" t="str"/>
      <x:c r="P151" s="11" t="str"/>
      <x:c r="Q151" s="11" t="str"/>
      <x:c r="R151" s="11" t="str"/>
      <x:c r="S151" s="10" t="str">
        <x:v>Browser + API + database</x:v>
      </x:c>
      <x:c r="T151" s="10" t="str">
        <x:v>Approved testing plan</x:v>
      </x:c>
      <x:c r="U151" s="10" t="str">
        <x:v>Reconcile tagged fixtures; archive/withdraw only owned test publications. Preserve audit/financial history.</x:v>
      </x:c>
      <x:c r="V151" s="12" t="str">
        <x:f>IF(A151="","",IF(L151="Not run","Pending",IF(OR(L151="Blocked",L151="Not deployed",L151="Not applicable"),IF(OR(K151="",R151=""),"Needs explanation","Recorded"),IF(OR(L151="Pass",L151="Fail"),IF(OR(K151="",M151="",P151=""),"Needs result/evidence/build","Recorded"),"Needs valid status"))))</x:f>
        <x:v>Pending</x:v>
      </x:c>
    </x:row>
    <x:row r="152" ht="38" customHeight="1">
      <x:c r="A152" s="10" t="str">
        <x:v>QA-0148</x:v>
      </x:c>
      <x:c r="B152" s="10" t="str">
        <x:v>J. Event operations</x:v>
      </x:c>
      <x:c r="C152" s="10" t="str">
        <x:v>Attendance corrections</x:v>
      </x:c>
      <x:c r="D152" s="10" t="str">
        <x:v>/admin/workspaces/events /member/events</x:v>
      </x:c>
      <x:c r="E152" s="10" t="str">
        <x:v>event_operator / finance_operator / member</x:v>
      </x:c>
      <x:c r="F152" s="10" t="str">
        <x:v>P1</x:v>
      </x:c>
      <x:c r="G152" s="10" t="str">
        <x:v>Live - tagged fixture</x:v>
      </x:c>
      <x:c r="H152" s="10" t="str">
        <x:v>Record deployed build. Use assigned test accounts, synthetic data and approved fixtures/recipients only.</x:v>
      </x:c>
      <x:c r="I152" s="10" t="str">
        <x:v>Correct QA attendance with reason/version.</x:v>
      </x:c>
      <x:c r="J152" s="10" t="str">
        <x:v>Current outcome and history agree; stale edit rejected.</x:v>
      </x:c>
      <x:c r="K152" s="11" t="str"/>
      <x:c r="L152" s="11" t="str">
        <x:v>Not run</x:v>
      </x:c>
      <x:c r="M152" s="11" t="str"/>
      <x:c r="N152" s="11" t="str"/>
      <x:c r="O152" s="11" t="str"/>
      <x:c r="P152" s="11" t="str"/>
      <x:c r="Q152" s="11" t="str"/>
      <x:c r="R152" s="11" t="str"/>
      <x:c r="S152" s="10" t="str">
        <x:v>Browser + API + database</x:v>
      </x:c>
      <x:c r="T152" s="10" t="str">
        <x:v>Approved testing plan</x:v>
      </x:c>
      <x:c r="U152" s="10" t="str">
        <x:v>Reconcile tagged fixtures; archive/withdraw only owned test publications. Preserve audit/financial history.</x:v>
      </x:c>
      <x:c r="V152" s="12" t="str">
        <x:f>IF(A152="","",IF(L152="Not run","Pending",IF(OR(L152="Blocked",L152="Not deployed",L152="Not applicable"),IF(OR(K152="",R152=""),"Needs explanation","Recorded"),IF(OR(L152="Pass",L152="Fail"),IF(OR(K152="",M152="",P152=""),"Needs result/evidence/build","Recorded"),"Needs valid status"))))</x:f>
        <x:v>Pending</x:v>
      </x:c>
    </x:row>
    <x:row r="153" ht="38" customHeight="1">
      <x:c r="A153" s="10" t="str">
        <x:v>QA-0149</x:v>
      </x:c>
      <x:c r="B153" s="10" t="str">
        <x:v>J. Event operations</x:v>
      </x:c>
      <x:c r="C153" s="10" t="str">
        <x:v>Bulk attendance</x:v>
      </x:c>
      <x:c r="D153" s="10" t="str">
        <x:v>/admin/workspaces/events /member/events</x:v>
      </x:c>
      <x:c r="E153" s="10" t="str">
        <x:v>event_operator / finance_operator / member</x:v>
      </x:c>
      <x:c r="F153" s="10" t="str">
        <x:v>P1</x:v>
      </x:c>
      <x:c r="G153" s="10" t="str">
        <x:v>Live - tagged fixture</x:v>
      </x:c>
      <x:c r="H153" s="10" t="str">
        <x:v>Record deployed build. Use assigned test accounts, synthetic data and approved fixtures/recipients only.</x:v>
      </x:c>
      <x:c r="I153" s="10" t="str">
        <x:v>Apply supported bulk action to explicit QA selection.</x:v>
      </x:c>
      <x:c r="J153" s="10" t="str">
        <x:v>Only intended rows change; conflict/partial failure is visible.</x:v>
      </x:c>
      <x:c r="K153" s="11" t="str"/>
      <x:c r="L153" s="11" t="str">
        <x:v>Not run</x:v>
      </x:c>
      <x:c r="M153" s="11" t="str"/>
      <x:c r="N153" s="11" t="str"/>
      <x:c r="O153" s="11" t="str"/>
      <x:c r="P153" s="11" t="str"/>
      <x:c r="Q153" s="11" t="str"/>
      <x:c r="R153" s="11" t="str"/>
      <x:c r="S153" s="10" t="str">
        <x:v>Browser + API + database</x:v>
      </x:c>
      <x:c r="T153" s="10" t="str">
        <x:v>Approved testing plan</x:v>
      </x:c>
      <x:c r="U153" s="10" t="str">
        <x:v>Reconcile tagged fixtures; archive/withdraw only owned test publications. Preserve audit/financial history.</x:v>
      </x:c>
      <x:c r="V153" s="12" t="str">
        <x:f>IF(A153="","",IF(L153="Not run","Pending",IF(OR(L153="Blocked",L153="Not deployed",L153="Not applicable"),IF(OR(K153="",R153=""),"Needs explanation","Recorded"),IF(OR(L153="Pass",L153="Fail"),IF(OR(K153="",M153="",P153=""),"Needs result/evidence/build","Recorded"),"Needs valid status"))))</x:f>
        <x:v>Pending</x:v>
      </x:c>
    </x:row>
    <x:row r="154" ht="38" customHeight="1">
      <x:c r="A154" s="10" t="str">
        <x:v>QA-0150</x:v>
      </x:c>
      <x:c r="B154" s="10" t="str">
        <x:v>J. Event operations</x:v>
      </x:c>
      <x:c r="C154" s="10" t="str">
        <x:v>No registration credit</x:v>
      </x:c>
      <x:c r="D154" s="10" t="str">
        <x:v>/admin/workspaces/events /member/events</x:v>
      </x:c>
      <x:c r="E154" s="10" t="str">
        <x:v>event_operator / finance_operator / member</x:v>
      </x:c>
      <x:c r="F154" s="10" t="str">
        <x:v>P1</x:v>
      </x:c>
      <x:c r="G154" s="10" t="str">
        <x:v>Live - tagged fixture</x:v>
      </x:c>
      <x:c r="H154" s="10" t="str">
        <x:v>Record deployed build. Use assigned test accounts, synthetic data and approved fixtures/recipients only.</x:v>
      </x:c>
      <x:c r="I154" s="10" t="str">
        <x:v>Inspect registered-but-absent QA member journey.</x:v>
      </x:c>
      <x:c r="J154" s="10" t="str">
        <x:v>Registration does not automatically award attendance/learning credit.</x:v>
      </x:c>
      <x:c r="K154" s="11" t="str"/>
      <x:c r="L154" s="11" t="str">
        <x:v>Not run</x:v>
      </x:c>
      <x:c r="M154" s="11" t="str"/>
      <x:c r="N154" s="11" t="str"/>
      <x:c r="O154" s="11" t="str"/>
      <x:c r="P154" s="11" t="str"/>
      <x:c r="Q154" s="11" t="str"/>
      <x:c r="R154" s="11" t="str"/>
      <x:c r="S154" s="10" t="str">
        <x:v>Browser + API + database</x:v>
      </x:c>
      <x:c r="T154" s="10" t="str">
        <x:v>Approved testing plan</x:v>
      </x:c>
      <x:c r="U154" s="10" t="str">
        <x:v>Reconcile tagged fixtures; archive/withdraw only owned test publications. Preserve audit/financial history.</x:v>
      </x:c>
      <x:c r="V154" s="12" t="str">
        <x:f>IF(A154="","",IF(L154="Not run","Pending",IF(OR(L154="Blocked",L154="Not deployed",L154="Not applicable"),IF(OR(K154="",R154=""),"Needs explanation","Recorded"),IF(OR(L154="Pass",L154="Fail"),IF(OR(K154="",M154="",P154=""),"Needs result/evidence/build","Recorded"),"Needs valid status"))))</x:f>
        <x:v>Pending</x:v>
      </x:c>
    </x:row>
    <x:row r="155" ht="38" customHeight="1">
      <x:c r="A155" s="10" t="str">
        <x:v>QA-0151</x:v>
      </x:c>
      <x:c r="B155" s="10" t="str">
        <x:v>J. Event operations</x:v>
      </x:c>
      <x:c r="C155" s="10" t="str">
        <x:v>Milestone badges</x:v>
      </x:c>
      <x:c r="D155" s="10" t="str">
        <x:v>/admin/workspaces/events /member/events</x:v>
      </x:c>
      <x:c r="E155" s="10" t="str">
        <x:v>event_operator / finance_operator / member</x:v>
      </x:c>
      <x:c r="F155" s="10" t="str">
        <x:v>P1</x:v>
      </x:c>
      <x:c r="G155" s="10" t="str">
        <x:v>Live - tagged fixture</x:v>
      </x:c>
      <x:c r="H155" s="10" t="str">
        <x:v>Record deployed build. Use assigned test accounts, synthetic data and approved fixtures/recipients only.</x:v>
      </x:c>
      <x:c r="I155" s="10" t="str">
        <x:v>Enable isolated attendance milestone rule and compare eligible/absent members.</x:v>
      </x:c>
      <x:c r="J155" s="10" t="str">
        <x:v>Only actual eligible attendance contributes; rule changes project correctly.</x:v>
      </x:c>
      <x:c r="K155" s="11" t="str"/>
      <x:c r="L155" s="11" t="str">
        <x:v>Not run</x:v>
      </x:c>
      <x:c r="M155" s="11" t="str"/>
      <x:c r="N155" s="11" t="str"/>
      <x:c r="O155" s="11" t="str"/>
      <x:c r="P155" s="11" t="str"/>
      <x:c r="Q155" s="11" t="str"/>
      <x:c r="R155" s="11" t="str"/>
      <x:c r="S155" s="10" t="str">
        <x:v>Browser + API + database</x:v>
      </x:c>
      <x:c r="T155" s="10" t="str">
        <x:v>Approved testing plan</x:v>
      </x:c>
      <x:c r="U155" s="10" t="str">
        <x:v>Reconcile tagged fixtures; archive/withdraw only owned test publications. Preserve audit/financial history.</x:v>
      </x:c>
      <x:c r="V155" s="12" t="str">
        <x:f>IF(A155="","",IF(L155="Not run","Pending",IF(OR(L155="Blocked",L155="Not deployed",L155="Not applicable"),IF(OR(K155="",R155=""),"Needs explanation","Recorded"),IF(OR(L155="Pass",L155="Fail"),IF(OR(K155="",M155="",P155=""),"Needs result/evidence/build","Recorded"),"Needs valid status"))))</x:f>
        <x:v>Pending</x:v>
      </x:c>
    </x:row>
    <x:row r="156" ht="38" customHeight="1">
      <x:c r="A156" s="10" t="str">
        <x:v>QA-0152</x:v>
      </x:c>
      <x:c r="B156" s="10" t="str">
        <x:v>J. Event operations</x:v>
      </x:c>
      <x:c r="C156" s="10" t="str">
        <x:v>Completion badge</x:v>
      </x:c>
      <x:c r="D156" s="10" t="str">
        <x:v>/admin/workspaces/events /member/events</x:v>
      </x:c>
      <x:c r="E156" s="10" t="str">
        <x:v>event_operator / finance_operator / member</x:v>
      </x:c>
      <x:c r="F156" s="10" t="str">
        <x:v>P1</x:v>
      </x:c>
      <x:c r="G156" s="10" t="str">
        <x:v>Live - tagged fixture</x:v>
      </x:c>
      <x:c r="H156" s="10" t="str">
        <x:v>Record deployed build. Use assigned test accounts, synthetic data and approved fixtures/recipients only.</x:v>
      </x:c>
      <x:c r="I156" s="10" t="str">
        <x:v>Complete eligible QA event and inspect badge eligibility.</x:v>
      </x:c>
      <x:c r="J156" s="10" t="str">
        <x:v>Event completion badge follows its separate payment/attendance rule.</x:v>
      </x:c>
      <x:c r="K156" s="11" t="str"/>
      <x:c r="L156" s="11" t="str">
        <x:v>Not run</x:v>
      </x:c>
      <x:c r="M156" s="11" t="str"/>
      <x:c r="N156" s="11" t="str"/>
      <x:c r="O156" s="11" t="str"/>
      <x:c r="P156" s="11" t="str"/>
      <x:c r="Q156" s="11" t="str"/>
      <x:c r="R156" s="11" t="str"/>
      <x:c r="S156" s="10" t="str">
        <x:v>Browser + API + database</x:v>
      </x:c>
      <x:c r="T156" s="10" t="str">
        <x:v>Approved testing plan</x:v>
      </x:c>
      <x:c r="U156" s="10" t="str">
        <x:v>Reconcile tagged fixtures; archive/withdraw only owned test publications. Preserve audit/financial history.</x:v>
      </x:c>
      <x:c r="V156" s="12" t="str">
        <x:f>IF(A156="","",IF(L156="Not run","Pending",IF(OR(L156="Blocked",L156="Not deployed",L156="Not applicable"),IF(OR(K156="",R156=""),"Needs explanation","Recorded"),IF(OR(L156="Pass",L156="Fail"),IF(OR(K156="",M156="",P156=""),"Needs result/evidence/build","Recorded"),"Needs valid status"))))</x:f>
        <x:v>Pending</x:v>
      </x:c>
    </x:row>
    <x:row r="157" ht="38" customHeight="1">
      <x:c r="A157" s="10" t="str">
        <x:v>QA-0153</x:v>
      </x:c>
      <x:c r="B157" s="10" t="str">
        <x:v>J. Event operations</x:v>
      </x:c>
      <x:c r="C157" s="10" t="str">
        <x:v>Public resource</x:v>
      </x:c>
      <x:c r="D157" s="10" t="str">
        <x:v>/admin/workspaces/events /member/events</x:v>
      </x:c>
      <x:c r="E157" s="10" t="str">
        <x:v>event_operator / finance_operator / member</x:v>
      </x:c>
      <x:c r="F157" s="10" t="str">
        <x:v>P1</x:v>
      </x:c>
      <x:c r="G157" s="10" t="str">
        <x:v>Live - tagged fixture</x:v>
      </x:c>
      <x:c r="H157" s="10" t="str">
        <x:v>Record deployed build. Use assigned test accounts, synthetic data and approved fixtures/recipients only.</x:v>
      </x:c>
      <x:c r="I157" s="10" t="str">
        <x:v>Publish synthetic event resource with public eligibility.</x:v>
      </x:c>
      <x:c r="J157" s="10" t="str">
        <x:v>Anonymous can access only intended published resource.</x:v>
      </x:c>
      <x:c r="K157" s="11" t="str"/>
      <x:c r="L157" s="11" t="str">
        <x:v>Not run</x:v>
      </x:c>
      <x:c r="M157" s="11" t="str"/>
      <x:c r="N157" s="11" t="str"/>
      <x:c r="O157" s="11" t="str"/>
      <x:c r="P157" s="11" t="str"/>
      <x:c r="Q157" s="11" t="str"/>
      <x:c r="R157" s="11" t="str"/>
      <x:c r="S157" s="10" t="str">
        <x:v>Browser + API + database</x:v>
      </x:c>
      <x:c r="T157" s="10" t="str">
        <x:v>Approved testing plan</x:v>
      </x:c>
      <x:c r="U157" s="10" t="str">
        <x:v>Reconcile tagged fixtures; archive/withdraw only owned test publications. Preserve audit/financial history.</x:v>
      </x:c>
      <x:c r="V157" s="12" t="str">
        <x:f>IF(A157="","",IF(L157="Not run","Pending",IF(OR(L157="Blocked",L157="Not deployed",L157="Not applicable"),IF(OR(K157="",R157=""),"Needs explanation","Recorded"),IF(OR(L157="Pass",L157="Fail"),IF(OR(K157="",M157="",P157=""),"Needs result/evidence/build","Recorded"),"Needs valid status"))))</x:f>
        <x:v>Pending</x:v>
      </x:c>
    </x:row>
    <x:row r="158" ht="38" customHeight="1">
      <x:c r="A158" s="10" t="str">
        <x:v>QA-0154</x:v>
      </x:c>
      <x:c r="B158" s="10" t="str">
        <x:v>J. Event operations</x:v>
      </x:c>
      <x:c r="C158" s="10" t="str">
        <x:v>Member resource</x:v>
      </x:c>
      <x:c r="D158" s="10" t="str">
        <x:v>/admin/workspaces/events /member/events</x:v>
      </x:c>
      <x:c r="E158" s="10" t="str">
        <x:v>event_operator / finance_operator / member</x:v>
      </x:c>
      <x:c r="F158" s="10" t="str">
        <x:v>P1</x:v>
      </x:c>
      <x:c r="G158" s="10" t="str">
        <x:v>Live - tagged fixture</x:v>
      </x:c>
      <x:c r="H158" s="10" t="str">
        <x:v>Record deployed build. Use assigned test accounts, synthetic data and approved fixtures/recipients only.</x:v>
      </x:c>
      <x:c r="I158" s="10" t="str">
        <x:v>Publish QA resource with configured member eligibility.</x:v>
      </x:c>
      <x:c r="J158" s="10" t="str">
        <x:v>Eligible member permitted; anonymous/unentitled user denied.</x:v>
      </x:c>
      <x:c r="K158" s="11" t="str"/>
      <x:c r="L158" s="11" t="str">
        <x:v>Not run</x:v>
      </x:c>
      <x:c r="M158" s="11" t="str"/>
      <x:c r="N158" s="11" t="str"/>
      <x:c r="O158" s="11" t="str"/>
      <x:c r="P158" s="11" t="str"/>
      <x:c r="Q158" s="11" t="str"/>
      <x:c r="R158" s="11" t="str"/>
      <x:c r="S158" s="10" t="str">
        <x:v>Browser + API + database</x:v>
      </x:c>
      <x:c r="T158" s="10" t="str">
        <x:v>Approved testing plan</x:v>
      </x:c>
      <x:c r="U158" s="10" t="str">
        <x:v>Reconcile tagged fixtures; archive/withdraw only owned test publications. Preserve audit/financial history.</x:v>
      </x:c>
      <x:c r="V158" s="12" t="str">
        <x:f>IF(A158="","",IF(L158="Not run","Pending",IF(OR(L158="Blocked",L158="Not deployed",L158="Not applicable"),IF(OR(K158="",R158=""),"Needs explanation","Recorded"),IF(OR(L158="Pass",L158="Fail"),IF(OR(K158="",M158="",P158=""),"Needs result/evidence/build","Recorded"),"Needs valid status"))))</x:f>
        <x:v>Pending</x:v>
      </x:c>
    </x:row>
    <x:row r="159" ht="38" customHeight="1">
      <x:c r="A159" s="10" t="str">
        <x:v>QA-0155</x:v>
      </x:c>
      <x:c r="B159" s="10" t="str">
        <x:v>J. Event operations</x:v>
      </x:c>
      <x:c r="C159" s="10" t="str">
        <x:v>Registration resource</x:v>
      </x:c>
      <x:c r="D159" s="10" t="str">
        <x:v>/admin/workspaces/events /member/events</x:v>
      </x:c>
      <x:c r="E159" s="10" t="str">
        <x:v>event_operator / finance_operator / member</x:v>
      </x:c>
      <x:c r="F159" s="10" t="str">
        <x:v>P1</x:v>
      </x:c>
      <x:c r="G159" s="10" t="str">
        <x:v>Live - tagged fixture</x:v>
      </x:c>
      <x:c r="H159" s="10" t="str">
        <x:v>Record deployed build. Use assigned test accounts, synthetic data and approved fixtures/recipients only.</x:v>
      </x:c>
      <x:c r="I159" s="10" t="str">
        <x:v>Test resource eligibility with registered/cancelled/member-B fixtures.</x:v>
      </x:c>
      <x:c r="J159" s="10" t="str">
        <x:v>Access evaluates current configured entitlement.</x:v>
      </x:c>
      <x:c r="K159" s="11" t="str"/>
      <x:c r="L159" s="11" t="str">
        <x:v>Not run</x:v>
      </x:c>
      <x:c r="M159" s="11" t="str"/>
      <x:c r="N159" s="11" t="str"/>
      <x:c r="O159" s="11" t="str"/>
      <x:c r="P159" s="11" t="str"/>
      <x:c r="Q159" s="11" t="str"/>
      <x:c r="R159" s="11" t="str"/>
      <x:c r="S159" s="10" t="str">
        <x:v>Browser + API + database</x:v>
      </x:c>
      <x:c r="T159" s="10" t="str">
        <x:v>Approved testing plan</x:v>
      </x:c>
      <x:c r="U159" s="10" t="str">
        <x:v>Reconcile tagged fixtures; archive/withdraw only owned test publications. Preserve audit/financial history.</x:v>
      </x:c>
      <x:c r="V159" s="12" t="str">
        <x:f>IF(A159="","",IF(L159="Not run","Pending",IF(OR(L159="Blocked",L159="Not deployed",L159="Not applicable"),IF(OR(K159="",R159=""),"Needs explanation","Recorded"),IF(OR(L159="Pass",L159="Fail"),IF(OR(K159="",M159="",P159=""),"Needs result/evidence/build","Recorded"),"Needs valid status"))))</x:f>
        <x:v>Pending</x:v>
      </x:c>
    </x:row>
    <x:row r="160" ht="38" customHeight="1">
      <x:c r="A160" s="10" t="str">
        <x:v>QA-0156</x:v>
      </x:c>
      <x:c r="B160" s="10" t="str">
        <x:v>J. Event operations</x:v>
      </x:c>
      <x:c r="C160" s="10" t="str">
        <x:v>Attendance resource</x:v>
      </x:c>
      <x:c r="D160" s="10" t="str">
        <x:v>/admin/workspaces/events /member/events</x:v>
      </x:c>
      <x:c r="E160" s="10" t="str">
        <x:v>event_operator / finance_operator / member</x:v>
      </x:c>
      <x:c r="F160" s="10" t="str">
        <x:v>P1</x:v>
      </x:c>
      <x:c r="G160" s="10" t="str">
        <x:v>Live - tagged fixture</x:v>
      </x:c>
      <x:c r="H160" s="10" t="str">
        <x:v>Record deployed build. Use assigned test accounts, synthetic data and approved fixtures/recipients only.</x:v>
      </x:c>
      <x:c r="I160" s="10" t="str">
        <x:v>Test resource with present/absent attendees.</x:v>
      </x:c>
      <x:c r="J160" s="10" t="str">
        <x:v>Only configured attendance entitlement grants access.</x:v>
      </x:c>
      <x:c r="K160" s="11" t="str"/>
      <x:c r="L160" s="11" t="str">
        <x:v>Not run</x:v>
      </x:c>
      <x:c r="M160" s="11" t="str"/>
      <x:c r="N160" s="11" t="str"/>
      <x:c r="O160" s="11" t="str"/>
      <x:c r="P160" s="11" t="str"/>
      <x:c r="Q160" s="11" t="str"/>
      <x:c r="R160" s="11" t="str"/>
      <x:c r="S160" s="10" t="str">
        <x:v>Browser + API + database</x:v>
      </x:c>
      <x:c r="T160" s="10" t="str">
        <x:v>Approved testing plan</x:v>
      </x:c>
      <x:c r="U160" s="10" t="str">
        <x:v>Reconcile tagged fixtures; archive/withdraw only owned test publications. Preserve audit/financial history.</x:v>
      </x:c>
      <x:c r="V160" s="12" t="str">
        <x:f>IF(A160="","",IF(L160="Not run","Pending",IF(OR(L160="Blocked",L160="Not deployed",L160="Not applicable"),IF(OR(K160="",R160=""),"Needs explanation","Recorded"),IF(OR(L160="Pass",L160="Fail"),IF(OR(K160="",M160="",P160=""),"Needs result/evidence/build","Recorded"),"Needs valid status"))))</x:f>
        <x:v>Pending</x:v>
      </x:c>
    </x:row>
    <x:row r="161" ht="38" customHeight="1">
      <x:c r="A161" s="10" t="str">
        <x:v>QA-0157</x:v>
      </x:c>
      <x:c r="B161" s="10" t="str">
        <x:v>J. Event operations</x:v>
      </x:c>
      <x:c r="C161" s="10" t="str">
        <x:v>Resource eligibility revoked</x:v>
      </x:c>
      <x:c r="D161" s="10" t="str">
        <x:v>/admin/workspaces/events /member/events</x:v>
      </x:c>
      <x:c r="E161" s="10" t="str">
        <x:v>event_operator / finance_operator / member</x:v>
      </x:c>
      <x:c r="F161" s="10" t="str">
        <x:v>P1</x:v>
      </x:c>
      <x:c r="G161" s="10" t="str">
        <x:v>Live - tagged fixture</x:v>
      </x:c>
      <x:c r="H161" s="10" t="str">
        <x:v>Record deployed build. Use assigned test accounts, synthetic data and approved fixtures/recipients only.</x:v>
      </x:c>
      <x:c r="I161" s="10" t="str">
        <x:v>Change eligibility/cancel entitlement and retry direct file URL.</x:v>
      </x:c>
      <x:c r="J161" s="10" t="str">
        <x:v>Server rechecks current access; no stale entitlement leak.</x:v>
      </x:c>
      <x:c r="K161" s="11" t="str"/>
      <x:c r="L161" s="11" t="str">
        <x:v>Not run</x:v>
      </x:c>
      <x:c r="M161" s="11" t="str"/>
      <x:c r="N161" s="11" t="str"/>
      <x:c r="O161" s="11" t="str"/>
      <x:c r="P161" s="11" t="str"/>
      <x:c r="Q161" s="11" t="str"/>
      <x:c r="R161" s="11" t="str"/>
      <x:c r="S161" s="10" t="str">
        <x:v>Browser + API + database</x:v>
      </x:c>
      <x:c r="T161" s="10" t="str">
        <x:v>Approved testing plan</x:v>
      </x:c>
      <x:c r="U161" s="10" t="str">
        <x:v>Reconcile tagged fixtures; archive/withdraw only owned test publications. Preserve audit/financial history.</x:v>
      </x:c>
      <x:c r="V161" s="12" t="str">
        <x:f>IF(A161="","",IF(L161="Not run","Pending",IF(OR(L161="Blocked",L161="Not deployed",L161="Not applicable"),IF(OR(K161="",R161=""),"Needs explanation","Recorded"),IF(OR(L161="Pass",L161="Fail"),IF(OR(K161="",M161="",P161=""),"Needs result/evidence/build","Recorded"),"Needs valid status"))))</x:f>
        <x:v>Pending</x:v>
      </x:c>
    </x:row>
    <x:row r="162" ht="38" customHeight="1">
      <x:c r="A162" s="10" t="str">
        <x:v>QA-0158</x:v>
      </x:c>
      <x:c r="B162" s="10" t="str">
        <x:v>J. Event operations</x:v>
      </x:c>
      <x:c r="C162" s="10" t="str">
        <x:v>Manual perk grant</x:v>
      </x:c>
      <x:c r="D162" s="10" t="str">
        <x:v>/admin/workspaces/events /member/events</x:v>
      </x:c>
      <x:c r="E162" s="10" t="str">
        <x:v>event_operator / finance_operator / member</x:v>
      </x:c>
      <x:c r="F162" s="10" t="str">
        <x:v>P1</x:v>
      </x:c>
      <x:c r="G162" s="10" t="str">
        <x:v>Live - tagged fixture</x:v>
      </x:c>
      <x:c r="H162" s="10" t="str">
        <x:v>Record deployed build. Use assigned test accounts, synthetic data and approved fixtures/recipients only.</x:v>
      </x:c>
      <x:c r="I162" s="10" t="str">
        <x:v>Grant perk to specific QA registration.</x:v>
      </x:c>
      <x:c r="J162" s="10" t="str">
        <x:v>Only intended member sees active entitlement and history.</x:v>
      </x:c>
      <x:c r="K162" s="11" t="str"/>
      <x:c r="L162" s="11" t="str">
        <x:v>Not run</x:v>
      </x:c>
      <x:c r="M162" s="11" t="str"/>
      <x:c r="N162" s="11" t="str"/>
      <x:c r="O162" s="11" t="str"/>
      <x:c r="P162" s="11" t="str"/>
      <x:c r="Q162" s="11" t="str"/>
      <x:c r="R162" s="11" t="str"/>
      <x:c r="S162" s="10" t="str">
        <x:v>Browser + API + database</x:v>
      </x:c>
      <x:c r="T162" s="10" t="str">
        <x:v>Approved testing plan</x:v>
      </x:c>
      <x:c r="U162" s="10" t="str">
        <x:v>Reconcile tagged fixtures; archive/withdraw only owned test publications. Preserve audit/financial history.</x:v>
      </x:c>
      <x:c r="V162" s="12" t="str">
        <x:f>IF(A162="","",IF(L162="Not run","Pending",IF(OR(L162="Blocked",L162="Not deployed",L162="Not applicable"),IF(OR(K162="",R162=""),"Needs explanation","Recorded"),IF(OR(L162="Pass",L162="Fail"),IF(OR(K162="",M162="",P162=""),"Needs result/evidence/build","Recorded"),"Needs valid status"))))</x:f>
        <x:v>Pending</x:v>
      </x:c>
    </x:row>
    <x:row r="163" ht="38" customHeight="1">
      <x:c r="A163" s="10" t="str">
        <x:v>QA-0159</x:v>
      </x:c>
      <x:c r="B163" s="10" t="str">
        <x:v>J. Event operations</x:v>
      </x:c>
      <x:c r="C163" s="10" t="str">
        <x:v>Manual perk revoke</x:v>
      </x:c>
      <x:c r="D163" s="10" t="str">
        <x:v>/admin/workspaces/events /member/events</x:v>
      </x:c>
      <x:c r="E163" s="10" t="str">
        <x:v>event_operator / finance_operator / member</x:v>
      </x:c>
      <x:c r="F163" s="10" t="str">
        <x:v>P1</x:v>
      </x:c>
      <x:c r="G163" s="10" t="str">
        <x:v>Live - tagged fixture</x:v>
      </x:c>
      <x:c r="H163" s="10" t="str">
        <x:v>Record deployed build. Use assigned test accounts, synthetic data and approved fixtures/recipients only.</x:v>
      </x:c>
      <x:c r="I163" s="10" t="str">
        <x:v>Revoke same perk and retry member access.</x:v>
      </x:c>
      <x:c r="J163" s="10" t="str">
        <x:v>Revocation reflected without erasing audit.</x:v>
      </x:c>
      <x:c r="K163" s="11" t="str"/>
      <x:c r="L163" s="11" t="str">
        <x:v>Not run</x:v>
      </x:c>
      <x:c r="M163" s="11" t="str"/>
      <x:c r="N163" s="11" t="str"/>
      <x:c r="O163" s="11" t="str"/>
      <x:c r="P163" s="11" t="str"/>
      <x:c r="Q163" s="11" t="str"/>
      <x:c r="R163" s="11" t="str"/>
      <x:c r="S163" s="10" t="str">
        <x:v>Browser + API + database</x:v>
      </x:c>
      <x:c r="T163" s="10" t="str">
        <x:v>Approved testing plan</x:v>
      </x:c>
      <x:c r="U163" s="10" t="str">
        <x:v>Reconcile tagged fixtures; archive/withdraw only owned test publications. Preserve audit/financial history.</x:v>
      </x:c>
      <x:c r="V163" s="12" t="str">
        <x:f>IF(A163="","",IF(L163="Not run","Pending",IF(OR(L163="Blocked",L163="Not deployed",L163="Not applicable"),IF(OR(K163="",R163=""),"Needs explanation","Recorded"),IF(OR(L163="Pass",L163="Fail"),IF(OR(K163="",M163="",P163=""),"Needs result/evidence/build","Recorded"),"Needs valid status"))))</x:f>
        <x:v>Pending</x:v>
      </x:c>
    </x:row>
    <x:row r="164" ht="38" customHeight="1">
      <x:c r="A164" s="10" t="str">
        <x:v>QA-0160</x:v>
      </x:c>
      <x:c r="B164" s="10" t="str">
        <x:v>J. Event operations</x:v>
      </x:c>
      <x:c r="C164" s="10" t="str">
        <x:v>Announcement review</x:v>
      </x:c>
      <x:c r="D164" s="10" t="str">
        <x:v>/admin/workspaces/events /member/events</x:v>
      </x:c>
      <x:c r="E164" s="10" t="str">
        <x:v>event_operator / finance_operator / member</x:v>
      </x:c>
      <x:c r="F164" s="10" t="str">
        <x:v>P1</x:v>
      </x:c>
      <x:c r="G164" s="10" t="str">
        <x:v>Live - tagged fixture</x:v>
      </x:c>
      <x:c r="H164" s="10" t="str">
        <x:v>Record deployed build. Use assigned test accounts, synthetic data and approved fixtures/recipients only.</x:v>
      </x:c>
      <x:c r="I164" s="10" t="str">
        <x:v>Create/review announcement with explicit QA audience.</x:v>
      </x:c>
      <x:c r="J164" s="10" t="str">
        <x:v>Canonical event facts and audience are correct; no implicit send.</x:v>
      </x:c>
      <x:c r="K164" s="11" t="str"/>
      <x:c r="L164" s="11" t="str">
        <x:v>Not run</x:v>
      </x:c>
      <x:c r="M164" s="11" t="str"/>
      <x:c r="N164" s="11" t="str"/>
      <x:c r="O164" s="11" t="str"/>
      <x:c r="P164" s="11" t="str"/>
      <x:c r="Q164" s="11" t="str"/>
      <x:c r="R164" s="11" t="str"/>
      <x:c r="S164" s="10" t="str">
        <x:v>Browser + API + database</x:v>
      </x:c>
      <x:c r="T164" s="10" t="str">
        <x:v>Approved testing plan</x:v>
      </x:c>
      <x:c r="U164" s="10" t="str">
        <x:v>Reconcile tagged fixtures; archive/withdraw only owned test publications. Preserve audit/financial history.</x:v>
      </x:c>
      <x:c r="V164" s="12" t="str">
        <x:f>IF(A164="","",IF(L164="Not run","Pending",IF(OR(L164="Blocked",L164="Not deployed",L164="Not applicable"),IF(OR(K164="",R164=""),"Needs explanation","Recorded"),IF(OR(L164="Pass",L164="Fail"),IF(OR(K164="",M164="",P164=""),"Needs result/evidence/build","Recorded"),"Needs valid status"))))</x:f>
        <x:v>Pending</x:v>
      </x:c>
    </x:row>
    <x:row r="165" ht="38" customHeight="1">
      <x:c r="A165" s="10" t="str">
        <x:v>QA-0161</x:v>
      </x:c>
      <x:c r="B165" s="10" t="str">
        <x:v>J. Event operations</x:v>
      </x:c>
      <x:c r="C165" s="10" t="str">
        <x:v>Promotion dispatch</x:v>
      </x:c>
      <x:c r="D165" s="10" t="str">
        <x:v>/admin/workspaces/events /member/events</x:v>
      </x:c>
      <x:c r="E165" s="10" t="str">
        <x:v>event_operator / finance_operator / member</x:v>
      </x:c>
      <x:c r="F165" s="10" t="str">
        <x:v>P1</x:v>
      </x:c>
      <x:c r="G165" s="10" t="str">
        <x:v>Live - tagged fixture</x:v>
      </x:c>
      <x:c r="H165" s="10" t="str">
        <x:v>Record deployed build. Use assigned test accounts, synthetic data and approved fixtures/recipients only.</x:v>
      </x:c>
      <x:c r="I165" s="10" t="str">
        <x:v>Review and confirm promotion to approved test recipients only.</x:v>
      </x:c>
      <x:c r="J165" s="10" t="str">
        <x:v>One correct dispatch using existing communications controls.</x:v>
      </x:c>
      <x:c r="K165" s="11" t="str"/>
      <x:c r="L165" s="11" t="str">
        <x:v>Not run</x:v>
      </x:c>
      <x:c r="M165" s="11" t="str"/>
      <x:c r="N165" s="11" t="str"/>
      <x:c r="O165" s="11" t="str"/>
      <x:c r="P165" s="11" t="str"/>
      <x:c r="Q165" s="11" t="str"/>
      <x:c r="R165" s="11" t="str"/>
      <x:c r="S165" s="10" t="str">
        <x:v>Browser + API + database</x:v>
      </x:c>
      <x:c r="T165" s="10" t="str">
        <x:v>Approved testing plan</x:v>
      </x:c>
      <x:c r="U165" s="10" t="str">
        <x:v>Reconcile tagged fixtures; archive/withdraw only owned test publications. Preserve audit/financial history.</x:v>
      </x:c>
      <x:c r="V165" s="12" t="str">
        <x:f>IF(A165="","",IF(L165="Not run","Pending",IF(OR(L165="Blocked",L165="Not deployed",L165="Not applicable"),IF(OR(K165="",R165=""),"Needs explanation","Recorded"),IF(OR(L165="Pass",L165="Fail"),IF(OR(K165="",M165="",P165=""),"Needs result/evidence/build","Recorded"),"Needs valid status"))))</x:f>
        <x:v>Pending</x:v>
      </x:c>
    </x:row>
    <x:row r="166" ht="38" customHeight="1">
      <x:c r="A166" s="10" t="str">
        <x:v>QA-0162</x:v>
      </x:c>
      <x:c r="B166" s="10" t="str">
        <x:v>J. Event operations</x:v>
      </x:c>
      <x:c r="C166" s="10" t="str">
        <x:v>Complete event prerequisites</x:v>
      </x:c>
      <x:c r="D166" s="10" t="str">
        <x:v>/admin/workspaces/events /member/events</x:v>
      </x:c>
      <x:c r="E166" s="10" t="str">
        <x:v>event_operator / finance_operator / member</x:v>
      </x:c>
      <x:c r="F166" s="10" t="str">
        <x:v>P1</x:v>
      </x:c>
      <x:c r="G166" s="10" t="str">
        <x:v>Isolated only</x:v>
      </x:c>
      <x:c r="H166" s="10" t="str">
        <x:v>Record deployed build. Use assigned test accounts, synthetic data and approved fixtures/recipients only.</x:v>
      </x:c>
      <x:c r="I166" s="10" t="str">
        <x:v>Attempt completion before end/final attendance/financial review using isolated fixture.</x:v>
      </x:c>
      <x:c r="J166" s="10" t="str">
        <x:v>Completion rejected until all prerequisites; unresolved amounts remain explicit.</x:v>
      </x:c>
      <x:c r="K166" s="11" t="str"/>
      <x:c r="L166" s="11" t="str">
        <x:v>Not run</x:v>
      </x:c>
      <x:c r="M166" s="11" t="str"/>
      <x:c r="N166" s="11" t="str"/>
      <x:c r="O166" s="11" t="str"/>
      <x:c r="P166" s="11" t="str"/>
      <x:c r="Q166" s="11" t="str"/>
      <x:c r="R166" s="11" t="str"/>
      <x:c r="S166" s="10" t="str">
        <x:v>Browser + API + database</x:v>
      </x:c>
      <x:c r="T166" s="10" t="str">
        <x:v>Approved testing plan</x:v>
      </x:c>
      <x:c r="U166" s="10" t="str">
        <x:v>Reconcile tagged fixtures; archive/withdraw only owned test publications. Preserve audit/financial history.</x:v>
      </x:c>
      <x:c r="V166" s="12" t="str">
        <x:f>IF(A166="","",IF(L166="Not run","Pending",IF(OR(L166="Blocked",L166="Not deployed",L166="Not applicable"),IF(OR(K166="",R166=""),"Needs explanation","Recorded"),IF(OR(L166="Pass",L166="Fail"),IF(OR(K166="",M166="",P166=""),"Needs result/evidence/build","Recorded"),"Needs valid status"))))</x:f>
        <x:v>Pending</x:v>
      </x:c>
    </x:row>
    <x:row r="167" ht="38" customHeight="1">
      <x:c r="A167" s="10" t="str">
        <x:v>QA-0163</x:v>
      </x:c>
      <x:c r="B167" s="10" t="str">
        <x:v>J. Event operations</x:v>
      </x:c>
      <x:c r="C167" s="10" t="str">
        <x:v>Archive and reopen</x:v>
      </x:c>
      <x:c r="D167" s="10" t="str">
        <x:v>/admin/workspaces/events /member/events</x:v>
      </x:c>
      <x:c r="E167" s="10" t="str">
        <x:v>event_operator / finance_operator / member</x:v>
      </x:c>
      <x:c r="F167" s="10" t="str">
        <x:v>P1</x:v>
      </x:c>
      <x:c r="G167" s="10" t="str">
        <x:v>Live - tagged fixture</x:v>
      </x:c>
      <x:c r="H167" s="10" t="str">
        <x:v>Record deployed build. Use assigned test accounts, synthetic data and approved fixtures/recipients only.</x:v>
      </x:c>
      <x:c r="I167" s="10" t="str">
        <x:v>Complete/archive QA event; attempt edits; reopen with reason where supported.</x:v>
      </x:c>
      <x:c r="J167" s="10" t="str">
        <x:v>Frozen actions rejected; authorized reopening is audited and private history retained.</x:v>
      </x:c>
      <x:c r="K167" s="11" t="str"/>
      <x:c r="L167" s="11" t="str">
        <x:v>Not run</x:v>
      </x:c>
      <x:c r="M167" s="11" t="str"/>
      <x:c r="N167" s="11" t="str"/>
      <x:c r="O167" s="11" t="str"/>
      <x:c r="P167" s="11" t="str"/>
      <x:c r="Q167" s="11" t="str"/>
      <x:c r="R167" s="11" t="str"/>
      <x:c r="S167" s="10" t="str">
        <x:v>Browser + API + database</x:v>
      </x:c>
      <x:c r="T167" s="10" t="str">
        <x:v>Approved testing plan</x:v>
      </x:c>
      <x:c r="U167" s="10" t="str">
        <x:v>Reconcile tagged fixtures; archive/withdraw only owned test publications. Preserve audit/financial history.</x:v>
      </x:c>
      <x:c r="V167" s="12" t="str">
        <x:f>IF(A167="","",IF(L167="Not run","Pending",IF(OR(L167="Blocked",L167="Not deployed",L167="Not applicable"),IF(OR(K167="",R167=""),"Needs explanation","Recorded"),IF(OR(L167="Pass",L167="Fail"),IF(OR(K167="",M167="",P167=""),"Needs result/evidence/build","Recorded"),"Needs valid status"))))</x:f>
        <x:v>Pending</x:v>
      </x:c>
    </x:row>
    <x:row r="168" ht="38" customHeight="1">
      <x:c r="A168" s="10" t="str">
        <x:v>QA-0164</x:v>
      </x:c>
      <x:c r="B168" s="10" t="str">
        <x:v>J. Event operations</x:v>
      </x:c>
      <x:c r="C168" s="10" t="str">
        <x:v>Historical import preview</x:v>
      </x:c>
      <x:c r="D168" s="10" t="str">
        <x:v>/admin/workspaces/events /member/events</x:v>
      </x:c>
      <x:c r="E168" s="10" t="str">
        <x:v>event_operator / finance_operator / member</x:v>
      </x:c>
      <x:c r="F168" s="10" t="str">
        <x:v>P1</x:v>
      </x:c>
      <x:c r="G168" s="10" t="str">
        <x:v>Live - tagged fixture</x:v>
      </x:c>
      <x:c r="H168" s="10" t="str">
        <x:v>Record deployed build. Use assigned test accounts, synthetic data and approved fixtures/recipients only.</x:v>
      </x:c>
      <x:c r="I168" s="10" t="str">
        <x:v>Preview synthetic historical attendance CSV.</x:v>
      </x:c>
      <x:c r="J168" s="10" t="str">
        <x:v>Validation only; no attendance or learning credit committed.</x:v>
      </x:c>
      <x:c r="K168" s="11" t="str"/>
      <x:c r="L168" s="11" t="str">
        <x:v>Not run</x:v>
      </x:c>
      <x:c r="M168" s="11" t="str"/>
      <x:c r="N168" s="11" t="str"/>
      <x:c r="O168" s="11" t="str"/>
      <x:c r="P168" s="11" t="str"/>
      <x:c r="Q168" s="11" t="str"/>
      <x:c r="R168" s="11" t="str"/>
      <x:c r="S168" s="10" t="str">
        <x:v>Browser + API + database</x:v>
      </x:c>
      <x:c r="T168" s="10" t="str">
        <x:v>Approved testing plan</x:v>
      </x:c>
      <x:c r="U168" s="10" t="str">
        <x:v>Reconcile tagged fixtures; archive/withdraw only owned test publications. Preserve audit/financial history.</x:v>
      </x:c>
      <x:c r="V168" s="12" t="str">
        <x:f>IF(A168="","",IF(L168="Not run","Pending",IF(OR(L168="Blocked",L168="Not deployed",L168="Not applicable"),IF(OR(K168="",R168=""),"Needs explanation","Recorded"),IF(OR(L168="Pass",L168="Fail"),IF(OR(K168="",M168="",P168=""),"Needs result/evidence/build","Recorded"),"Needs valid status"))))</x:f>
        <x:v>Pending</x:v>
      </x:c>
    </x:row>
    <x:row r="169" ht="38" customHeight="1">
      <x:c r="A169" s="10" t="str">
        <x:v>QA-0165</x:v>
      </x:c>
      <x:c r="B169" s="10" t="str">
        <x:v>J. Event operations</x:v>
      </x:c>
      <x:c r="C169" s="10" t="str">
        <x:v>Historical import commit block</x:v>
      </x:c>
      <x:c r="D169" s="10" t="str">
        <x:v>/admin/workspaces/events /member/events</x:v>
      </x:c>
      <x:c r="E169" s="10" t="str">
        <x:v>event_operator / finance_operator / member</x:v>
      </x:c>
      <x:c r="F169" s="10" t="str">
        <x:v>P1</x:v>
      </x:c>
      <x:c r="G169" s="10" t="str">
        <x:v>Isolated only</x:v>
      </x:c>
      <x:c r="H169" s="10" t="str">
        <x:v>Record deployed build. Use assigned test accounts, synthetic data and approved fixtures/recipients only.</x:v>
      </x:c>
      <x:c r="I169" s="10" t="str">
        <x:v>Attempt unsupported commit in isolation.</x:v>
      </x:c>
      <x:c r="J169" s="10" t="str">
        <x:v>Explicit disabled/409 outcome and no data mutation.</x:v>
      </x:c>
      <x:c r="K169" s="11" t="str"/>
      <x:c r="L169" s="11" t="str">
        <x:v>Not run</x:v>
      </x:c>
      <x:c r="M169" s="11" t="str"/>
      <x:c r="N169" s="11" t="str"/>
      <x:c r="O169" s="11" t="str"/>
      <x:c r="P169" s="11" t="str"/>
      <x:c r="Q169" s="11" t="str"/>
      <x:c r="R169" s="11" t="str"/>
      <x:c r="S169" s="10" t="str">
        <x:v>Browser + API + database</x:v>
      </x:c>
      <x:c r="T169" s="10" t="str">
        <x:v>Approved testing plan</x:v>
      </x:c>
      <x:c r="U169" s="10" t="str">
        <x:v>Reconcile tagged fixtures; archive/withdraw only owned test publications. Preserve audit/financial history.</x:v>
      </x:c>
      <x:c r="V169" s="12" t="str">
        <x:f>IF(A169="","",IF(L169="Not run","Pending",IF(OR(L169="Blocked",L169="Not deployed",L169="Not applicable"),IF(OR(K169="",R169=""),"Needs explanation","Recorded"),IF(OR(L169="Pass",L169="Fail"),IF(OR(K169="",M169="",P169=""),"Needs result/evidence/build","Recorded"),"Needs valid status"))))</x:f>
        <x:v>Pending</x:v>
      </x:c>
    </x:row>
    <x:row r="170" ht="38" customHeight="1">
      <x:c r="A170" s="10" t="str">
        <x:v>QA-0166</x:v>
      </x:c>
      <x:c r="B170" s="10" t="str">
        <x:v>K. Transactional email</x:v>
      </x:c>
      <x:c r="C170" s="10" t="str">
        <x:v>Mail content and links</x:v>
      </x:c>
      <x:c r="D170" s="10" t="str">
        <x:v>Approved QA inbox / event delivery view</x:v>
      </x:c>
      <x:c r="E170" s="10" t="str">
        <x:v>Technical tester / communications_operator</x:v>
      </x:c>
      <x:c r="F170" s="10" t="str">
        <x:v>P1</x:v>
      </x:c>
      <x:c r="G170" s="10" t="str">
        <x:v>Live - tagged fixture</x:v>
      </x:c>
      <x:c r="H170" s="10" t="str">
        <x:v>Record deployed build. Use assigned test accounts, synthetic data and approved fixtures/recipients only.</x:v>
      </x:c>
      <x:c r="I170" s="10" t="str">
        <x:v>For each transactional kind, compare recipient/sender/reply-to/subject/IST time/fee/IDs and follow links.</x:v>
      </x:c>
      <x:c r="J170" s="10" t="str">
        <x:v>Message facts and targets match canonical record and intended recipient.</x:v>
      </x:c>
      <x:c r="K170" s="11" t="str"/>
      <x:c r="L170" s="11" t="str">
        <x:v>Not run</x:v>
      </x:c>
      <x:c r="M170" s="11" t="str"/>
      <x:c r="N170" s="11" t="str"/>
      <x:c r="O170" s="11" t="str"/>
      <x:c r="P170" s="11" t="str"/>
      <x:c r="Q170" s="11" t="str"/>
      <x:c r="R170" s="11" t="str"/>
      <x:c r="S170" s="10" t="str">
        <x:v>Browser + API + database</x:v>
      </x:c>
      <x:c r="T170" s="10" t="str">
        <x:v>Approved testing plan</x:v>
      </x:c>
      <x:c r="U170" s="10" t="str">
        <x:v>Reconcile tagged fixtures; archive/withdraw only owned test publications. Preserve audit/financial history.</x:v>
      </x:c>
      <x:c r="V170" s="12" t="str">
        <x:f>IF(A170="","",IF(L170="Not run","Pending",IF(OR(L170="Blocked",L170="Not deployed",L170="Not applicable"),IF(OR(K170="",R170=""),"Needs explanation","Recorded"),IF(OR(L170="Pass",L170="Fail"),IF(OR(K170="",M170="",P170=""),"Needs result/evidence/build","Recorded"),"Needs valid status"))))</x:f>
        <x:v>Pending</x:v>
      </x:c>
    </x:row>
    <x:row r="171" ht="38" customHeight="1">
      <x:c r="A171" s="10" t="str">
        <x:v>QA-0167</x:v>
      </x:c>
      <x:c r="B171" s="10" t="str">
        <x:v>K. Transactional email</x:v>
      </x:c>
      <x:c r="C171" s="10" t="str">
        <x:v>Actual inbox evidence</x:v>
      </x:c>
      <x:c r="D171" s="10" t="str">
        <x:v>Approved QA inbox / event delivery view</x:v>
      </x:c>
      <x:c r="E171" s="10" t="str">
        <x:v>Technical tester / communications_operator</x:v>
      </x:c>
      <x:c r="F171" s="10" t="str">
        <x:v>P1</x:v>
      </x:c>
      <x:c r="G171" s="10" t="str">
        <x:v>Live - tagged fixture</x:v>
      </x:c>
      <x:c r="H171" s="10" t="str">
        <x:v>Record deployed build. Use assigned test accounts, synthetic data and approved fixtures/recipients only.</x:v>
      </x:c>
      <x:c r="I171" s="10" t="str">
        <x:v>Open approved inbox after a triggered QA message and complete link action on desktop.</x:v>
      </x:c>
      <x:c r="J171" s="10" t="str">
        <x:v>Receipt and usable link proven separately from provider status.</x:v>
      </x:c>
      <x:c r="K171" s="11" t="str"/>
      <x:c r="L171" s="11" t="str">
        <x:v>Not run</x:v>
      </x:c>
      <x:c r="M171" s="11" t="str"/>
      <x:c r="N171" s="11" t="str"/>
      <x:c r="O171" s="11" t="str"/>
      <x:c r="P171" s="11" t="str"/>
      <x:c r="Q171" s="11" t="str"/>
      <x:c r="R171" s="11" t="str"/>
      <x:c r="S171" s="10" t="str">
        <x:v>Browser + API + database</x:v>
      </x:c>
      <x:c r="T171" s="10" t="str">
        <x:v>Approved testing plan</x:v>
      </x:c>
      <x:c r="U171" s="10" t="str">
        <x:v>Reconcile tagged fixtures; archive/withdraw only owned test publications. Preserve audit/financial history.</x:v>
      </x:c>
      <x:c r="V171" s="12" t="str">
        <x:f>IF(A171="","",IF(L171="Not run","Pending",IF(OR(L171="Blocked",L171="Not deployed",L171="Not applicable"),IF(OR(K171="",R171=""),"Needs explanation","Recorded"),IF(OR(L171="Pass",L171="Fail"),IF(OR(K171="",M171="",P171=""),"Needs result/evidence/build","Recorded"),"Needs valid status"))))</x:f>
        <x:v>Pending</x:v>
      </x:c>
    </x:row>
    <x:row r="172" ht="38" customHeight="1">
      <x:c r="A172" s="10" t="str">
        <x:v>QA-0168</x:v>
      </x:c>
      <x:c r="B172" s="10" t="str">
        <x:v>K. Transactional email</x:v>
      </x:c>
      <x:c r="C172" s="10" t="str">
        <x:v>Mobile inbox link</x:v>
      </x:c>
      <x:c r="D172" s="10" t="str">
        <x:v>Approved QA inbox / event delivery view</x:v>
      </x:c>
      <x:c r="E172" s="10" t="str">
        <x:v>Technical tester / communications_operator</x:v>
      </x:c>
      <x:c r="F172" s="10" t="str">
        <x:v>P1</x:v>
      </x:c>
      <x:c r="G172" s="10" t="str">
        <x:v>Live - tagged fixture</x:v>
      </x:c>
      <x:c r="H172" s="10" t="str">
        <x:v>Record deployed build. Use assigned test accounts, synthetic data and approved fixtures/recipients only.</x:v>
      </x:c>
      <x:c r="I172" s="10" t="str">
        <x:v>Open representative account and event links from real phone email client.</x:v>
      </x:c>
      <x:c r="J172" s="10" t="str">
        <x:v>Correct secure destination and continuation on physical device.</x:v>
      </x:c>
      <x:c r="K172" s="11" t="str"/>
      <x:c r="L172" s="11" t="str">
        <x:v>Not run</x:v>
      </x:c>
      <x:c r="M172" s="11" t="str"/>
      <x:c r="N172" s="11" t="str"/>
      <x:c r="O172" s="11" t="str"/>
      <x:c r="P172" s="11" t="str"/>
      <x:c r="Q172" s="11" t="str"/>
      <x:c r="R172" s="11" t="str"/>
      <x:c r="S172" s="10" t="str">
        <x:v>Browser + API + database</x:v>
      </x:c>
      <x:c r="T172" s="10" t="str">
        <x:v>Approved testing plan</x:v>
      </x:c>
      <x:c r="U172" s="10" t="str">
        <x:v>Reconcile tagged fixtures; archive/withdraw only owned test publications. Preserve audit/financial history.</x:v>
      </x:c>
      <x:c r="V172" s="12" t="str">
        <x:f>IF(A172="","",IF(L172="Not run","Pending",IF(OR(L172="Blocked",L172="Not deployed",L172="Not applicable"),IF(OR(K172="",R172=""),"Needs explanation","Recorded"),IF(OR(L172="Pass",L172="Fail"),IF(OR(K172="",M172="",P172=""),"Needs result/evidence/build","Recorded"),"Needs valid status"))))</x:f>
        <x:v>Pending</x:v>
      </x:c>
    </x:row>
    <x:row r="173" ht="38" customHeight="1">
      <x:c r="A173" s="10" t="str">
        <x:v>QA-0169</x:v>
      </x:c>
      <x:c r="B173" s="10" t="str">
        <x:v>K. Transactional email</x:v>
      </x:c>
      <x:c r="C173" s="10" t="str">
        <x:v>Delivery state projection</x:v>
      </x:c>
      <x:c r="D173" s="10" t="str">
        <x:v>Approved QA inbox / event delivery view</x:v>
      </x:c>
      <x:c r="E173" s="10" t="str">
        <x:v>Technical tester / communications_operator</x:v>
      </x:c>
      <x:c r="F173" s="10" t="str">
        <x:v>P1</x:v>
      </x:c>
      <x:c r="G173" s="10" t="str">
        <x:v>Live - tagged fixture</x:v>
      </x:c>
      <x:c r="H173" s="10" t="str">
        <x:v>Record deployed build. Use assigned test accounts, synthetic data and approved fixtures/recipients only.</x:v>
      </x:c>
      <x:c r="I173" s="10" t="str">
        <x:v>Compare queue, provider events and UI states for QA messages.</x:v>
      </x:c>
      <x:c r="J173" s="10" t="str">
        <x:v>Queued/accepted/delivered/delayed/failed/bounced/received are not conflated.</x:v>
      </x:c>
      <x:c r="K173" s="11" t="str"/>
      <x:c r="L173" s="11" t="str">
        <x:v>Not run</x:v>
      </x:c>
      <x:c r="M173" s="11" t="str"/>
      <x:c r="N173" s="11" t="str"/>
      <x:c r="O173" s="11" t="str"/>
      <x:c r="P173" s="11" t="str"/>
      <x:c r="Q173" s="11" t="str"/>
      <x:c r="R173" s="11" t="str"/>
      <x:c r="S173" s="10" t="str">
        <x:v>Browser + API + database</x:v>
      </x:c>
      <x:c r="T173" s="10" t="str">
        <x:v>Approved testing plan</x:v>
      </x:c>
      <x:c r="U173" s="10" t="str">
        <x:v>Reconcile tagged fixtures; archive/withdraw only owned test publications. Preserve audit/financial history.</x:v>
      </x:c>
      <x:c r="V173" s="12" t="str">
        <x:f>IF(A173="","",IF(L173="Not run","Pending",IF(OR(L173="Blocked",L173="Not deployed",L173="Not applicable"),IF(OR(K173="",R173=""),"Needs explanation","Recorded"),IF(OR(L173="Pass",L173="Fail"),IF(OR(K173="",M173="",P173=""),"Needs result/evidence/build","Recorded"),"Needs valid status"))))</x:f>
        <x:v>Pending</x:v>
      </x:c>
    </x:row>
    <x:row r="174" ht="38" customHeight="1">
      <x:c r="A174" s="10" t="str">
        <x:v>QA-0170</x:v>
      </x:c>
      <x:c r="B174" s="10" t="str">
        <x:v>K. Transactional email</x:v>
      </x:c>
      <x:c r="C174" s="10" t="str">
        <x:v>Reminder configuration</x:v>
      </x:c>
      <x:c r="D174" s="10" t="str">
        <x:v>Approved QA inbox / event delivery view</x:v>
      </x:c>
      <x:c r="E174" s="10" t="str">
        <x:v>Technical tester / communications_operator</x:v>
      </x:c>
      <x:c r="F174" s="10" t="str">
        <x:v>P1</x:v>
      </x:c>
      <x:c r="G174" s="10" t="str">
        <x:v>Live - tagged fixture</x:v>
      </x:c>
      <x:c r="H174" s="10" t="str">
        <x:v>Record deployed build. Use assigned test accounts, synthetic data and approved fixtures/recipients only.</x:v>
      </x:c>
      <x:c r="I174" s="10" t="str">
        <x:v>Configure supported offsets and pending-payment option on tagged event.</x:v>
      </x:c>
      <x:c r="J174" s="10" t="str">
        <x:v>Validated settings persist and displayed schedules are correct.</x:v>
      </x:c>
      <x:c r="K174" s="11" t="str"/>
      <x:c r="L174" s="11" t="str">
        <x:v>Not run</x:v>
      </x:c>
      <x:c r="M174" s="11" t="str"/>
      <x:c r="N174" s="11" t="str"/>
      <x:c r="O174" s="11" t="str"/>
      <x:c r="P174" s="11" t="str"/>
      <x:c r="Q174" s="11" t="str"/>
      <x:c r="R174" s="11" t="str"/>
      <x:c r="S174" s="10" t="str">
        <x:v>Browser + API + database</x:v>
      </x:c>
      <x:c r="T174" s="10" t="str">
        <x:v>Approved testing plan</x:v>
      </x:c>
      <x:c r="U174" s="10" t="str">
        <x:v>Reconcile tagged fixtures; archive/withdraw only owned test publications. Preserve audit/financial history.</x:v>
      </x:c>
      <x:c r="V174" s="12" t="str">
        <x:f>IF(A174="","",IF(L174="Not run","Pending",IF(OR(L174="Blocked",L174="Not deployed",L174="Not applicable"),IF(OR(K174="",R174=""),"Needs explanation","Recorded"),IF(OR(L174="Pass",L174="Fail"),IF(OR(K174="",M174="",P174=""),"Needs result/evidence/build","Recorded"),"Needs valid status"))))</x:f>
        <x:v>Pending</x:v>
      </x:c>
    </x:row>
    <x:row r="175" ht="38" customHeight="1">
      <x:c r="A175" s="10" t="str">
        <x:v>QA-0171</x:v>
      </x:c>
      <x:c r="B175" s="10" t="str">
        <x:v>K. Transactional email</x:v>
      </x:c>
      <x:c r="C175" s="10" t="str">
        <x:v>Obsolete reminder suppression</x:v>
      </x:c>
      <x:c r="D175" s="10" t="str">
        <x:v>Approved QA inbox / event delivery view</x:v>
      </x:c>
      <x:c r="E175" s="10" t="str">
        <x:v>Technical tester / communications_operator</x:v>
      </x:c>
      <x:c r="F175" s="10" t="str">
        <x:v>P1</x:v>
      </x:c>
      <x:c r="G175" s="10" t="str">
        <x:v>Isolated only</x:v>
      </x:c>
      <x:c r="H175" s="10" t="str">
        <x:v>Record deployed build. Use assigned test accounts, synthetic data and approved fixtures/recipients only.</x:v>
      </x:c>
      <x:c r="I175" s="10" t="str">
        <x:v>Change booking/payment/event/schedule before due time.</x:v>
      </x:c>
      <x:c r="J175" s="10" t="str">
        <x:v>Ineligible obsolete job skipped with reason; no outdated mail.</x:v>
      </x:c>
      <x:c r="K175" s="11" t="str"/>
      <x:c r="L175" s="11" t="str">
        <x:v>Not run</x:v>
      </x:c>
      <x:c r="M175" s="11" t="str"/>
      <x:c r="N175" s="11" t="str"/>
      <x:c r="O175" s="11" t="str"/>
      <x:c r="P175" s="11" t="str"/>
      <x:c r="Q175" s="11" t="str"/>
      <x:c r="R175" s="11" t="str"/>
      <x:c r="S175" s="10" t="str">
        <x:v>Browser + API + database</x:v>
      </x:c>
      <x:c r="T175" s="10" t="str">
        <x:v>Approved testing plan</x:v>
      </x:c>
      <x:c r="U175" s="10" t="str">
        <x:v>Reconcile tagged fixtures; archive/withdraw only owned test publications. Preserve audit/financial history.</x:v>
      </x:c>
      <x:c r="V175" s="12" t="str">
        <x:f>IF(A175="","",IF(L175="Not run","Pending",IF(OR(L175="Blocked",L175="Not deployed",L175="Not applicable"),IF(OR(K175="",R175=""),"Needs explanation","Recorded"),IF(OR(L175="Pass",L175="Fail"),IF(OR(K175="",M175="",P175=""),"Needs result/evidence/build","Recorded"),"Needs valid status"))))</x:f>
        <x:v>Pending</x:v>
      </x:c>
    </x:row>
    <x:row r="176" ht="38" customHeight="1">
      <x:c r="A176" s="10" t="str">
        <x:v>QA-0172</x:v>
      </x:c>
      <x:c r="B176" s="10" t="str">
        <x:v>K. Transactional email</x:v>
      </x:c>
      <x:c r="C176" s="10" t="str">
        <x:v>Reminder due boundaries</x:v>
      </x:c>
      <x:c r="D176" s="10" t="str">
        <x:v>Approved QA inbox / event delivery view</x:v>
      </x:c>
      <x:c r="E176" s="10" t="str">
        <x:v>Technical tester / communications_operator</x:v>
      </x:c>
      <x:c r="F176" s="10" t="str">
        <x:v>P1</x:v>
      </x:c>
      <x:c r="G176" s="10" t="str">
        <x:v>Isolated only</x:v>
      </x:c>
      <x:c r="H176" s="10" t="str">
        <x:v>Record deployed build. Use assigned test accounts, synthetic data and approved fixtures/recipients only.</x:v>
      </x:c>
      <x:c r="I176" s="10" t="str">
        <x:v>Test earliest/latest offsets, catch-up expiry and after-event timing.</x:v>
      </x:c>
      <x:c r="J176" s="10" t="str">
        <x:v>Only permitted due/catch-up jobs send; no after-start reminder.</x:v>
      </x:c>
      <x:c r="K176" s="11" t="str"/>
      <x:c r="L176" s="11" t="str">
        <x:v>Not run</x:v>
      </x:c>
      <x:c r="M176" s="11" t="str"/>
      <x:c r="N176" s="11" t="str"/>
      <x:c r="O176" s="11" t="str"/>
      <x:c r="P176" s="11" t="str"/>
      <x:c r="Q176" s="11" t="str"/>
      <x:c r="R176" s="11" t="str"/>
      <x:c r="S176" s="10" t="str">
        <x:v>Browser + API + database</x:v>
      </x:c>
      <x:c r="T176" s="10" t="str">
        <x:v>Approved testing plan</x:v>
      </x:c>
      <x:c r="U176" s="10" t="str">
        <x:v>Reconcile tagged fixtures; archive/withdraw only owned test publications. Preserve audit/financial history.</x:v>
      </x:c>
      <x:c r="V176" s="12" t="str">
        <x:f>IF(A176="","",IF(L176="Not run","Pending",IF(OR(L176="Blocked",L176="Not deployed",L176="Not applicable"),IF(OR(K176="",R176=""),"Needs explanation","Recorded"),IF(OR(L176="Pass",L176="Fail"),IF(OR(K176="",M176="",P176=""),"Needs result/evidence/build","Recorded"),"Needs valid status"))))</x:f>
        <x:v>Pending</x:v>
      </x:c>
    </x:row>
    <x:row r="177" ht="38" customHeight="1">
      <x:c r="A177" s="10" t="str">
        <x:v>QA-0173</x:v>
      </x:c>
      <x:c r="B177" s="10" t="str">
        <x:v>K. Transactional email</x:v>
      </x:c>
      <x:c r="C177" s="10" t="str">
        <x:v>Worker retry and uncertainty</x:v>
      </x:c>
      <x:c r="D177" s="10" t="str">
        <x:v>Approved QA inbox / event delivery view</x:v>
      </x:c>
      <x:c r="E177" s="10" t="str">
        <x:v>Technical tester / communications_operator</x:v>
      </x:c>
      <x:c r="F177" s="10" t="str">
        <x:v>P1</x:v>
      </x:c>
      <x:c r="G177" s="10" t="str">
        <x:v>Isolated only</x:v>
      </x:c>
      <x:c r="H177" s="10" t="str">
        <x:v>Record deployed build. Use assigned test accounts, synthetic data and approved fixtures/recipients only.</x:v>
      </x:c>
      <x:c r="I177" s="10" t="str">
        <x:v>Simulate transient provider failure/uncertain acceptance and restart.</x:v>
      </x:c>
      <x:c r="J177" s="10" t="str">
        <x:v>Stable idempotency, bounded retries and reconciliation state prevent duplicate send.</x:v>
      </x:c>
      <x:c r="K177" s="11" t="str"/>
      <x:c r="L177" s="11" t="str">
        <x:v>Not run</x:v>
      </x:c>
      <x:c r="M177" s="11" t="str"/>
      <x:c r="N177" s="11" t="str"/>
      <x:c r="O177" s="11" t="str"/>
      <x:c r="P177" s="11" t="str"/>
      <x:c r="Q177" s="11" t="str"/>
      <x:c r="R177" s="11" t="str"/>
      <x:c r="S177" s="10" t="str">
        <x:v>Browser + API + database</x:v>
      </x:c>
      <x:c r="T177" s="10" t="str">
        <x:v>Approved testing plan</x:v>
      </x:c>
      <x:c r="U177" s="10" t="str">
        <x:v>Reconcile tagged fixtures; archive/withdraw only owned test publications. Preserve audit/financial history.</x:v>
      </x:c>
      <x:c r="V177" s="12" t="str">
        <x:f>IF(A177="","",IF(L177="Not run","Pending",IF(OR(L177="Blocked",L177="Not deployed",L177="Not applicable"),IF(OR(K177="",R177=""),"Needs explanation","Recorded"),IF(OR(L177="Pass",L177="Fail"),IF(OR(K177="",M177="",P177=""),"Needs result/evidence/build","Recorded"),"Needs valid status"))))</x:f>
        <x:v>Pending</x:v>
      </x:c>
    </x:row>
    <x:row r="178" ht="38" customHeight="1">
      <x:c r="A178" s="10" t="str">
        <x:v>QA-0174</x:v>
      </x:c>
      <x:c r="B178" s="10" t="str">
        <x:v>K. Transactional email</x:v>
      </x:c>
      <x:c r="C178" s="10" t="str">
        <x:v>Cancellation reminder invalidation</x:v>
      </x:c>
      <x:c r="D178" s="10" t="str">
        <x:v>Approved QA inbox / event delivery view</x:v>
      </x:c>
      <x:c r="E178" s="10" t="str">
        <x:v>Technical tester / communications_operator</x:v>
      </x:c>
      <x:c r="F178" s="10" t="str">
        <x:v>P1</x:v>
      </x:c>
      <x:c r="G178" s="10" t="str">
        <x:v>Isolated only</x:v>
      </x:c>
      <x:c r="H178" s="10" t="str">
        <x:v>Record deployed build. Use assigned test accounts, synthetic data and approved fixtures/recipients only.</x:v>
      </x:c>
      <x:c r="I178" s="10" t="str">
        <x:v>Cancel/rebook isolated member and advance due time.</x:v>
      </x:c>
      <x:c r="J178" s="10" t="str">
        <x:v>Old booking jobs suppressed; only valid current revision can send.</x:v>
      </x:c>
      <x:c r="K178" s="11" t="str"/>
      <x:c r="L178" s="11" t="str">
        <x:v>Not run</x:v>
      </x:c>
      <x:c r="M178" s="11" t="str"/>
      <x:c r="N178" s="11" t="str"/>
      <x:c r="O178" s="11" t="str"/>
      <x:c r="P178" s="11" t="str"/>
      <x:c r="Q178" s="11" t="str"/>
      <x:c r="R178" s="11" t="str"/>
      <x:c r="S178" s="10" t="str">
        <x:v>Browser + API + database</x:v>
      </x:c>
      <x:c r="T178" s="10" t="str">
        <x:v>Approved testing plan</x:v>
      </x:c>
      <x:c r="U178" s="10" t="str">
        <x:v>Reconcile tagged fixtures; archive/withdraw only owned test publications. Preserve audit/financial history.</x:v>
      </x:c>
      <x:c r="V178" s="12" t="str">
        <x:f>IF(A178="","",IF(L178="Not run","Pending",IF(OR(L178="Blocked",L178="Not deployed",L178="Not applicable"),IF(OR(K178="",R178=""),"Needs explanation","Recorded"),IF(OR(L178="Pass",L178="Fail"),IF(OR(K178="",M178="",P178=""),"Needs result/evidence/build","Recorded"),"Needs valid status"))))</x:f>
        <x:v>Pending</x:v>
      </x:c>
    </x:row>
    <x:row r="179" ht="38" customHeight="1">
      <x:c r="A179" s="10" t="str">
        <x:v>QA-0175</x:v>
      </x:c>
      <x:c r="B179" s="10" t="str">
        <x:v>K. Transactional email</x:v>
      </x:c>
      <x:c r="C179" s="10" t="str">
        <x:v>Delivery failure visibility</x:v>
      </x:c>
      <x:c r="D179" s="10" t="str">
        <x:v>Approved QA inbox / event delivery view</x:v>
      </x:c>
      <x:c r="E179" s="10" t="str">
        <x:v>Technical tester / communications_operator</x:v>
      </x:c>
      <x:c r="F179" s="10" t="str">
        <x:v>P1</x:v>
      </x:c>
      <x:c r="G179" s="10" t="str">
        <x:v>Live - tagged fixture</x:v>
      </x:c>
      <x:c r="H179" s="10" t="str">
        <x:v>Record deployed build. Use assigned test accounts, synthetic data and approved fixtures/recipients only.</x:v>
      </x:c>
      <x:c r="I179" s="10" t="str">
        <x:v>Inspect failed/skipped QA messages in staff delivery view.</x:v>
      </x:c>
      <x:c r="J179" s="10" t="str">
        <x:v>Accurate reason/time/registration and clear next action without token leakage.</x:v>
      </x:c>
      <x:c r="K179" s="11" t="str"/>
      <x:c r="L179" s="11" t="str">
        <x:v>Not run</x:v>
      </x:c>
      <x:c r="M179" s="11" t="str"/>
      <x:c r="N179" s="11" t="str"/>
      <x:c r="O179" s="11" t="str"/>
      <x:c r="P179" s="11" t="str"/>
      <x:c r="Q179" s="11" t="str"/>
      <x:c r="R179" s="11" t="str"/>
      <x:c r="S179" s="10" t="str">
        <x:v>Browser + API + database</x:v>
      </x:c>
      <x:c r="T179" s="10" t="str">
        <x:v>Approved testing plan</x:v>
      </x:c>
      <x:c r="U179" s="10" t="str">
        <x:v>Reconcile tagged fixtures; archive/withdraw only owned test publications. Preserve audit/financial history.</x:v>
      </x:c>
      <x:c r="V179" s="12" t="str">
        <x:f>IF(A179="","",IF(L179="Not run","Pending",IF(OR(L179="Blocked",L179="Not deployed",L179="Not applicable"),IF(OR(K179="",R179=""),"Needs explanation","Recorded"),IF(OR(L179="Pass",L179="Fail"),IF(OR(K179="",M179="",P179=""),"Needs result/evidence/build","Recorded"),"Needs valid status"))))</x:f>
        <x:v>Pending</x:v>
      </x:c>
    </x:row>
    <x:row r="180" ht="38" customHeight="1">
      <x:c r="A180" s="10" t="str">
        <x:v>QA-0176</x:v>
      </x:c>
      <x:c r="B180" s="10" t="str">
        <x:v>L. Campaigns and inbox</x:v>
      </x:c>
      <x:c r="C180" s="10" t="str">
        <x:v>Template save and preview</x:v>
      </x:c>
      <x:c r="D180" s="10" t="str">
        <x:v>/admin/workspaces/communications</x:v>
      </x:c>
      <x:c r="E180" s="10" t="str">
        <x:v>communications_operator</x:v>
      </x:c>
      <x:c r="F180" s="10" t="str">
        <x:v>P1</x:v>
      </x:c>
      <x:c r="G180" s="10" t="str">
        <x:v>Live - tagged fixture</x:v>
      </x:c>
      <x:c r="H180" s="10" t="str">
        <x:v>Record deployed build. Use assigned test accounts, synthetic data and approved fixtures/recipients only.</x:v>
      </x:c>
      <x:c r="I180" s="10" t="str">
        <x:v>Create/edit QA template and switch workspace tabs.</x:v>
      </x:c>
      <x:c r="J180" s="10" t="str">
        <x:v>Saved content/version and unsaved input retention are correct.</x:v>
      </x:c>
      <x:c r="K180" s="11" t="str"/>
      <x:c r="L180" s="11" t="str">
        <x:v>Not run</x:v>
      </x:c>
      <x:c r="M180" s="11" t="str"/>
      <x:c r="N180" s="11" t="str"/>
      <x:c r="O180" s="11" t="str"/>
      <x:c r="P180" s="11" t="str"/>
      <x:c r="Q180" s="11" t="str"/>
      <x:c r="R180" s="11" t="str"/>
      <x:c r="S180" s="10" t="str">
        <x:v>Browser + API + database</x:v>
      </x:c>
      <x:c r="T180" s="10" t="str">
        <x:v>Approved testing plan</x:v>
      </x:c>
      <x:c r="U180" s="10" t="str">
        <x:v>Reconcile tagged fixtures; archive/withdraw only owned test publications. Preserve audit/financial history.</x:v>
      </x:c>
      <x:c r="V180" s="12" t="str">
        <x:f>IF(A180="","",IF(L180="Not run","Pending",IF(OR(L180="Blocked",L180="Not deployed",L180="Not applicable"),IF(OR(K180="",R180=""),"Needs explanation","Recorded"),IF(OR(L180="Pass",L180="Fail"),IF(OR(K180="",M180="",P180=""),"Needs result/evidence/build","Recorded"),"Needs valid status"))))</x:f>
        <x:v>Pending</x:v>
      </x:c>
    </x:row>
    <x:row r="181" ht="38" customHeight="1">
      <x:c r="A181" s="10" t="str">
        <x:v>QA-0177</x:v>
      </x:c>
      <x:c r="B181" s="10" t="str">
        <x:v>L. Campaigns and inbox</x:v>
      </x:c>
      <x:c r="C181" s="10" t="str">
        <x:v>Campaign draft</x:v>
      </x:c>
      <x:c r="D181" s="10" t="str">
        <x:v>/admin/workspaces/communications</x:v>
      </x:c>
      <x:c r="E181" s="10" t="str">
        <x:v>communications_operator</x:v>
      </x:c>
      <x:c r="F181" s="10" t="str">
        <x:v>P1</x:v>
      </x:c>
      <x:c r="G181" s="10" t="str">
        <x:v>Live - tagged fixture</x:v>
      </x:c>
      <x:c r="H181" s="10" t="str">
        <x:v>Record deployed build. Use assigned test accounts, synthetic data and approved fixtures/recipients only.</x:v>
      </x:c>
      <x:c r="I181" s="10" t="str">
        <x:v>Create named QA campaign with subject/body/audience and reload.</x:v>
      </x:c>
      <x:c r="J181" s="10" t="str">
        <x:v>Saved draft is exact; no dispatch implicit in save.</x:v>
      </x:c>
      <x:c r="K181" s="11" t="str"/>
      <x:c r="L181" s="11" t="str">
        <x:v>Not run</x:v>
      </x:c>
      <x:c r="M181" s="11" t="str"/>
      <x:c r="N181" s="11" t="str"/>
      <x:c r="O181" s="11" t="str"/>
      <x:c r="P181" s="11" t="str"/>
      <x:c r="Q181" s="11" t="str"/>
      <x:c r="R181" s="11" t="str"/>
      <x:c r="S181" s="10" t="str">
        <x:v>Browser + API + database</x:v>
      </x:c>
      <x:c r="T181" s="10" t="str">
        <x:v>Approved testing plan</x:v>
      </x:c>
      <x:c r="U181" s="10" t="str">
        <x:v>Reconcile tagged fixtures; archive/withdraw only owned test publications. Preserve audit/financial history.</x:v>
      </x:c>
      <x:c r="V181" s="12" t="str">
        <x:f>IF(A181="","",IF(L181="Not run","Pending",IF(OR(L181="Blocked",L181="Not deployed",L181="Not applicable"),IF(OR(K181="",R181=""),"Needs explanation","Recorded"),IF(OR(L181="Pass",L181="Fail"),IF(OR(K181="",M181="",P181=""),"Needs result/evidence/build","Recorded"),"Needs valid status"))))</x:f>
        <x:v>Pending</x:v>
      </x:c>
    </x:row>
    <x:row r="182" ht="38" customHeight="1">
      <x:c r="A182" s="10" t="str">
        <x:v>QA-0178</x:v>
      </x:c>
      <x:c r="B182" s="10" t="str">
        <x:v>L. Campaigns and inbox</x:v>
      </x:c>
      <x:c r="C182" s="10" t="str">
        <x:v>Template snapshot</x:v>
      </x:c>
      <x:c r="D182" s="10" t="str">
        <x:v>/admin/workspaces/communications</x:v>
      </x:c>
      <x:c r="E182" s="10" t="str">
        <x:v>communications_operator</x:v>
      </x:c>
      <x:c r="F182" s="10" t="str">
        <x:v>P1</x:v>
      </x:c>
      <x:c r="G182" s="10" t="str">
        <x:v>Live - tagged fixture</x:v>
      </x:c>
      <x:c r="H182" s="10" t="str">
        <x:v>Record deployed build. Use assigned test accounts, synthetic data and approved fixtures/recipients only.</x:v>
      </x:c>
      <x:c r="I182" s="10" t="str">
        <x:v>Copy template into draft, change template and reload campaign.</x:v>
      </x:c>
      <x:c r="J182" s="10" t="str">
        <x:v>Campaign retains copied snapshot.</x:v>
      </x:c>
      <x:c r="K182" s="11" t="str"/>
      <x:c r="L182" s="11" t="str">
        <x:v>Not run</x:v>
      </x:c>
      <x:c r="M182" s="11" t="str"/>
      <x:c r="N182" s="11" t="str"/>
      <x:c r="O182" s="11" t="str"/>
      <x:c r="P182" s="11" t="str"/>
      <x:c r="Q182" s="11" t="str"/>
      <x:c r="R182" s="11" t="str"/>
      <x:c r="S182" s="10" t="str">
        <x:v>Browser + API + database</x:v>
      </x:c>
      <x:c r="T182" s="10" t="str">
        <x:v>Approved testing plan</x:v>
      </x:c>
      <x:c r="U182" s="10" t="str">
        <x:v>Reconcile tagged fixtures; archive/withdraw only owned test publications. Preserve audit/financial history.</x:v>
      </x:c>
      <x:c r="V182" s="12" t="str">
        <x:f>IF(A182="","",IF(L182="Not run","Pending",IF(OR(L182="Blocked",L182="Not deployed",L182="Not applicable"),IF(OR(K182="",R182=""),"Needs explanation","Recorded"),IF(OR(L182="Pass",L182="Fail"),IF(OR(K182="",M182="",P182=""),"Needs result/evidence/build","Recorded"),"Needs valid status"))))</x:f>
        <x:v>Pending</x:v>
      </x:c>
    </x:row>
    <x:row r="183" ht="38" customHeight="1">
      <x:c r="A183" s="10" t="str">
        <x:v>QA-0179</x:v>
      </x:c>
      <x:c r="B183" s="10" t="str">
        <x:v>L. Campaigns and inbox</x:v>
      </x:c>
      <x:c r="C183" s="10" t="str">
        <x:v>Campaign archive restore</x:v>
      </x:c>
      <x:c r="D183" s="10" t="str">
        <x:v>/admin/workspaces/communications</x:v>
      </x:c>
      <x:c r="E183" s="10" t="str">
        <x:v>communications_operator</x:v>
      </x:c>
      <x:c r="F183" s="10" t="str">
        <x:v>P1</x:v>
      </x:c>
      <x:c r="G183" s="10" t="str">
        <x:v>Live - tagged fixture</x:v>
      </x:c>
      <x:c r="H183" s="10" t="str">
        <x:v>Record deployed build. Use assigned test accounts, synthetic data and approved fixtures/recipients only.</x:v>
      </x:c>
      <x:c r="I183" s="10" t="str">
        <x:v>Archive draft, try edit, restore and inspect revisions.</x:v>
      </x:c>
      <x:c r="J183" s="10" t="str">
        <x:v>Archived edit rejected; restore permits edit with preserved history.</x:v>
      </x:c>
      <x:c r="K183" s="11" t="str"/>
      <x:c r="L183" s="11" t="str">
        <x:v>Not run</x:v>
      </x:c>
      <x:c r="M183" s="11" t="str"/>
      <x:c r="N183" s="11" t="str"/>
      <x:c r="O183" s="11" t="str"/>
      <x:c r="P183" s="11" t="str"/>
      <x:c r="Q183" s="11" t="str"/>
      <x:c r="R183" s="11" t="str"/>
      <x:c r="S183" s="10" t="str">
        <x:v>Browser + API + database</x:v>
      </x:c>
      <x:c r="T183" s="10" t="str">
        <x:v>Approved testing plan</x:v>
      </x:c>
      <x:c r="U183" s="10" t="str">
        <x:v>Reconcile tagged fixtures; archive/withdraw only owned test publications. Preserve audit/financial history.</x:v>
      </x:c>
      <x:c r="V183" s="12" t="str">
        <x:f>IF(A183="","",IF(L183="Not run","Pending",IF(OR(L183="Blocked",L183="Not deployed",L183="Not applicable"),IF(OR(K183="",R183=""),"Needs explanation","Recorded"),IF(OR(L183="Pass",L183="Fail"),IF(OR(K183="",M183="",P183=""),"Needs result/evidence/build","Recorded"),"Needs valid status"))))</x:f>
        <x:v>Pending</x:v>
      </x:c>
    </x:row>
    <x:row r="184" ht="38" customHeight="1">
      <x:c r="A184" s="10" t="str">
        <x:v>QA-0180</x:v>
      </x:c>
      <x:c r="B184" s="10" t="str">
        <x:v>L. Campaigns and inbox</x:v>
      </x:c>
      <x:c r="C184" s="10" t="str">
        <x:v>Audience calculation</x:v>
      </x:c>
      <x:c r="D184" s="10" t="str">
        <x:v>/admin/workspaces/communications</x:v>
      </x:c>
      <x:c r="E184" s="10" t="str">
        <x:v>communications_operator</x:v>
      </x:c>
      <x:c r="F184" s="10" t="str">
        <x:v>P1</x:v>
      </x:c>
      <x:c r="G184" s="10" t="str">
        <x:v>Live - tagged fixture</x:v>
      </x:c>
      <x:c r="H184" s="10" t="str">
        <x:v>Record deployed build. Use assigned test accounts, synthetic data and approved fixtures/recipients only.</x:v>
      </x:c>
      <x:c r="I184" s="10" t="str">
        <x:v>Compare filtered audience preview with read-only query of QA eligible identities.</x:v>
      </x:c>
      <x:c r="J184" s="10" t="str">
        <x:v>Counts/sample agree; consent/verification/preferences/suppression exclusions explicit.</x:v>
      </x:c>
      <x:c r="K184" s="11" t="str"/>
      <x:c r="L184" s="11" t="str">
        <x:v>Not run</x:v>
      </x:c>
      <x:c r="M184" s="11" t="str"/>
      <x:c r="N184" s="11" t="str"/>
      <x:c r="O184" s="11" t="str"/>
      <x:c r="P184" s="11" t="str"/>
      <x:c r="Q184" s="11" t="str"/>
      <x:c r="R184" s="11" t="str"/>
      <x:c r="S184" s="10" t="str">
        <x:v>Browser + API + database</x:v>
      </x:c>
      <x:c r="T184" s="10" t="str">
        <x:v>Approved testing plan</x:v>
      </x:c>
      <x:c r="U184" s="10" t="str">
        <x:v>Reconcile tagged fixtures; archive/withdraw only owned test publications. Preserve audit/financial history.</x:v>
      </x:c>
      <x:c r="V184" s="12" t="str">
        <x:f>IF(A184="","",IF(L184="Not run","Pending",IF(OR(L184="Blocked",L184="Not deployed",L184="Not applicable"),IF(OR(K184="",R184=""),"Needs explanation","Recorded"),IF(OR(L184="Pass",L184="Fail"),IF(OR(K184="",M184="",P184=""),"Needs result/evidence/build","Recorded"),"Needs valid status"))))</x:f>
        <x:v>Pending</x:v>
      </x:c>
    </x:row>
    <x:row r="185" ht="38" customHeight="1">
      <x:c r="A185" s="10" t="str">
        <x:v>QA-0181</x:v>
      </x:c>
      <x:c r="B185" s="10" t="str">
        <x:v>L. Campaigns and inbox</x:v>
      </x:c>
      <x:c r="C185" s="10" t="str">
        <x:v>Audience freshness</x:v>
      </x:c>
      <x:c r="D185" s="10" t="str">
        <x:v>/admin/workspaces/communications</x:v>
      </x:c>
      <x:c r="E185" s="10" t="str">
        <x:v>communications_operator</x:v>
      </x:c>
      <x:c r="F185" s="10" t="str">
        <x:v>P1</x:v>
      </x:c>
      <x:c r="G185" s="10" t="str">
        <x:v>Live - tagged fixture</x:v>
      </x:c>
      <x:c r="H185" s="10" t="str">
        <x:v>Record deployed build. Use assigned test accounts, synthetic data and approved fixtures/recipients only.</x:v>
      </x:c>
      <x:c r="I185" s="10" t="str">
        <x:v>Change QA consent or filter after review and attempt dispatch.</x:v>
      </x:c>
      <x:c r="J185" s="10" t="str">
        <x:v>Stale review rejected or current eligibility rechecked as contract requires.</x:v>
      </x:c>
      <x:c r="K185" s="11" t="str"/>
      <x:c r="L185" s="11" t="str">
        <x:v>Not run</x:v>
      </x:c>
      <x:c r="M185" s="11" t="str"/>
      <x:c r="N185" s="11" t="str"/>
      <x:c r="O185" s="11" t="str"/>
      <x:c r="P185" s="11" t="str"/>
      <x:c r="Q185" s="11" t="str"/>
      <x:c r="R185" s="11" t="str"/>
      <x:c r="S185" s="10" t="str">
        <x:v>Browser + API + database</x:v>
      </x:c>
      <x:c r="T185" s="10" t="str">
        <x:v>Approved testing plan</x:v>
      </x:c>
      <x:c r="U185" s="10" t="str">
        <x:v>Reconcile tagged fixtures; archive/withdraw only owned test publications. Preserve audit/financial history.</x:v>
      </x:c>
      <x:c r="V185" s="12" t="str">
        <x:f>IF(A185="","",IF(L185="Not run","Pending",IF(OR(L185="Blocked",L185="Not deployed",L185="Not applicable"),IF(OR(K185="",R185=""),"Needs explanation","Recorded"),IF(OR(L185="Pass",L185="Fail"),IF(OR(K185="",M185="",P185=""),"Needs result/evidence/build","Recorded"),"Needs valid status"))))</x:f>
        <x:v>Pending</x:v>
      </x:c>
    </x:row>
    <x:row r="186" ht="38" customHeight="1">
      <x:c r="A186" s="10" t="str">
        <x:v>QA-0182</x:v>
      </x:c>
      <x:c r="B186" s="10" t="str">
        <x:v>L. Campaigns and inbox</x:v>
      </x:c>
      <x:c r="C186" s="10" t="str">
        <x:v>Dispatch confirmation</x:v>
      </x:c>
      <x:c r="D186" s="10" t="str">
        <x:v>/admin/workspaces/communications</x:v>
      </x:c>
      <x:c r="E186" s="10" t="str">
        <x:v>communications_operator</x:v>
      </x:c>
      <x:c r="F186" s="10" t="str">
        <x:v>P1</x:v>
      </x:c>
      <x:c r="G186" s="10" t="str">
        <x:v>Live - tagged fixture</x:v>
      </x:c>
      <x:c r="H186" s="10" t="str">
        <x:v>Record deployed build. Use assigned test accounts, synthetic data and approved fixtures/recipients only.</x:v>
      </x:c>
      <x:c r="I186" s="10" t="str">
        <x:v>Review exact allowlisted audience and confirm one QA dispatch.</x:v>
      </x:c>
      <x:c r="J186" s="10" t="str">
        <x:v>Only approved recipient snapshot creates jobs; unreviewed send rejected.</x:v>
      </x:c>
      <x:c r="K186" s="11" t="str"/>
      <x:c r="L186" s="11" t="str">
        <x:v>Not run</x:v>
      </x:c>
      <x:c r="M186" s="11" t="str"/>
      <x:c r="N186" s="11" t="str"/>
      <x:c r="O186" s="11" t="str"/>
      <x:c r="P186" s="11" t="str"/>
      <x:c r="Q186" s="11" t="str"/>
      <x:c r="R186" s="11" t="str"/>
      <x:c r="S186" s="10" t="str">
        <x:v>Browser + API + database</x:v>
      </x:c>
      <x:c r="T186" s="10" t="str">
        <x:v>Approved testing plan</x:v>
      </x:c>
      <x:c r="U186" s="10" t="str">
        <x:v>Reconcile tagged fixtures; archive/withdraw only owned test publications. Preserve audit/financial history.</x:v>
      </x:c>
      <x:c r="V186" s="12" t="str">
        <x:f>IF(A186="","",IF(L186="Not run","Pending",IF(OR(L186="Blocked",L186="Not deployed",L186="Not applicable"),IF(OR(K186="",R186=""),"Needs explanation","Recorded"),IF(OR(L186="Pass",L186="Fail"),IF(OR(K186="",M186="",P186=""),"Needs result/evidence/build","Recorded"),"Needs valid status"))))</x:f>
        <x:v>Pending</x:v>
      </x:c>
    </x:row>
    <x:row r="187" ht="38" customHeight="1">
      <x:c r="A187" s="10" t="str">
        <x:v>QA-0183</x:v>
      </x:c>
      <x:c r="B187" s="10" t="str">
        <x:v>L. Campaigns and inbox</x:v>
      </x:c>
      <x:c r="C187" s="10" t="str">
        <x:v>Duplicate dispatch</x:v>
      </x:c>
      <x:c r="D187" s="10" t="str">
        <x:v>/admin/workspaces/communications</x:v>
      </x:c>
      <x:c r="E187" s="10" t="str">
        <x:v>communications_operator</x:v>
      </x:c>
      <x:c r="F187" s="10" t="str">
        <x:v>P1</x:v>
      </x:c>
      <x:c r="G187" s="10" t="str">
        <x:v>Live - tagged fixture</x:v>
      </x:c>
      <x:c r="H187" s="10" t="str">
        <x:v>Record deployed build. Use assigned test accounts, synthetic data and approved fixtures/recipients only.</x:v>
      </x:c>
      <x:c r="I187" s="10" t="str">
        <x:v>Repeat confirmation of same reviewed QA dispatch.</x:v>
      </x:c>
      <x:c r="J187" s="10" t="str">
        <x:v>Same logical dispatch/jobs returned without duplicates.</x:v>
      </x:c>
      <x:c r="K187" s="11" t="str"/>
      <x:c r="L187" s="11" t="str">
        <x:v>Not run</x:v>
      </x:c>
      <x:c r="M187" s="11" t="str"/>
      <x:c r="N187" s="11" t="str"/>
      <x:c r="O187" s="11" t="str"/>
      <x:c r="P187" s="11" t="str"/>
      <x:c r="Q187" s="11" t="str"/>
      <x:c r="R187" s="11" t="str"/>
      <x:c r="S187" s="10" t="str">
        <x:v>Browser + API + database</x:v>
      </x:c>
      <x:c r="T187" s="10" t="str">
        <x:v>Approved testing plan</x:v>
      </x:c>
      <x:c r="U187" s="10" t="str">
        <x:v>Reconcile tagged fixtures; archive/withdraw only owned test publications. Preserve audit/financial history.</x:v>
      </x:c>
      <x:c r="V187" s="12" t="str">
        <x:f>IF(A187="","",IF(L187="Not run","Pending",IF(OR(L187="Blocked",L187="Not deployed",L187="Not applicable"),IF(OR(K187="",R187=""),"Needs explanation","Recorded"),IF(OR(L187="Pass",L187="Fail"),IF(OR(K187="",M187="",P187=""),"Needs result/evidence/build","Recorded"),"Needs valid status"))))</x:f>
        <x:v>Pending</x:v>
      </x:c>
    </x:row>
    <x:row r="188" ht="38" customHeight="1">
      <x:c r="A188" s="10" t="str">
        <x:v>QA-0184</x:v>
      </x:c>
      <x:c r="B188" s="10" t="str">
        <x:v>L. Campaigns and inbox</x:v>
      </x:c>
      <x:c r="C188" s="10" t="str">
        <x:v>Dispatch cancellation</x:v>
      </x:c>
      <x:c r="D188" s="10" t="str">
        <x:v>/admin/workspaces/communications</x:v>
      </x:c>
      <x:c r="E188" s="10" t="str">
        <x:v>communications_operator</x:v>
      </x:c>
      <x:c r="F188" s="10" t="str">
        <x:v>P1</x:v>
      </x:c>
      <x:c r="G188" s="10" t="str">
        <x:v>Isolated only</x:v>
      </x:c>
      <x:c r="H188" s="10" t="str">
        <x:v>Record deployed build. Use assigned test accounts, synthetic data and approved fixtures/recipients only.</x:v>
      </x:c>
      <x:c r="I188" s="10" t="str">
        <x:v>Cancel isolated dispatch before send and during partial processing.</x:v>
      </x:c>
      <x:c r="J188" s="10" t="str">
        <x:v>Pending jobs cancelled; accepted history preserved.</x:v>
      </x:c>
      <x:c r="K188" s="11" t="str"/>
      <x:c r="L188" s="11" t="str">
        <x:v>Not run</x:v>
      </x:c>
      <x:c r="M188" s="11" t="str"/>
      <x:c r="N188" s="11" t="str"/>
      <x:c r="O188" s="11" t="str"/>
      <x:c r="P188" s="11" t="str"/>
      <x:c r="Q188" s="11" t="str"/>
      <x:c r="R188" s="11" t="str"/>
      <x:c r="S188" s="10" t="str">
        <x:v>Browser + API + database</x:v>
      </x:c>
      <x:c r="T188" s="10" t="str">
        <x:v>Approved testing plan</x:v>
      </x:c>
      <x:c r="U188" s="10" t="str">
        <x:v>Reconcile tagged fixtures; archive/withdraw only owned test publications. Preserve audit/financial history.</x:v>
      </x:c>
      <x:c r="V188" s="12" t="str">
        <x:f>IF(A188="","",IF(L188="Not run","Pending",IF(OR(L188="Blocked",L188="Not deployed",L188="Not applicable"),IF(OR(K188="",R188=""),"Needs explanation","Recorded"),IF(OR(L188="Pass",L188="Fail"),IF(OR(K188="",M188="",P188=""),"Needs result/evidence/build","Recorded"),"Needs valid status"))))</x:f>
        <x:v>Pending</x:v>
      </x:c>
    </x:row>
    <x:row r="189" ht="38" customHeight="1">
      <x:c r="A189" s="10" t="str">
        <x:v>QA-0185</x:v>
      </x:c>
      <x:c r="B189" s="10" t="str">
        <x:v>L. Campaigns and inbox</x:v>
      </x:c>
      <x:c r="C189" s="10" t="str">
        <x:v>Authority revoked before send</x:v>
      </x:c>
      <x:c r="D189" s="10" t="str">
        <x:v>/admin/workspaces/communications</x:v>
      </x:c>
      <x:c r="E189" s="10" t="str">
        <x:v>communications_operator</x:v>
      </x:c>
      <x:c r="F189" s="10" t="str">
        <x:v>P1</x:v>
      </x:c>
      <x:c r="G189" s="10" t="str">
        <x:v>Isolated only</x:v>
      </x:c>
      <x:c r="H189" s="10" t="str">
        <x:v>Record deployed build. Use assigned test accounts, synthetic data and approved fixtures/recipients only.</x:v>
      </x:c>
      <x:c r="I189" s="10" t="str">
        <x:v>Revoke isolated sender role between review/queue/provider call.</x:v>
      </x:c>
      <x:c r="J189" s="10" t="str">
        <x:v>Unauthorized pending action does not send.</x:v>
      </x:c>
      <x:c r="K189" s="11" t="str"/>
      <x:c r="L189" s="11" t="str">
        <x:v>Not run</x:v>
      </x:c>
      <x:c r="M189" s="11" t="str"/>
      <x:c r="N189" s="11" t="str"/>
      <x:c r="O189" s="11" t="str"/>
      <x:c r="P189" s="11" t="str"/>
      <x:c r="Q189" s="11" t="str"/>
      <x:c r="R189" s="11" t="str"/>
      <x:c r="S189" s="10" t="str">
        <x:v>Browser + API + database</x:v>
      </x:c>
      <x:c r="T189" s="10" t="str">
        <x:v>Approved testing plan</x:v>
      </x:c>
      <x:c r="U189" s="10" t="str">
        <x:v>Reconcile tagged fixtures; archive/withdraw only owned test publications. Preserve audit/financial history.</x:v>
      </x:c>
      <x:c r="V189" s="12" t="str">
        <x:f>IF(A189="","",IF(L189="Not run","Pending",IF(OR(L189="Blocked",L189="Not deployed",L189="Not applicable"),IF(OR(K189="",R189=""),"Needs explanation","Recorded"),IF(OR(L189="Pass",L189="Fail"),IF(OR(K189="",M189="",P189=""),"Needs result/evidence/build","Recorded"),"Needs valid status"))))</x:f>
        <x:v>Pending</x:v>
      </x:c>
    </x:row>
    <x:row r="190" ht="38" customHeight="1">
      <x:c r="A190" s="10" t="str">
        <x:v>QA-0186</x:v>
      </x:c>
      <x:c r="B190" s="10" t="str">
        <x:v>L. Campaigns and inbox</x:v>
      </x:c>
      <x:c r="C190" s="10" t="str">
        <x:v>Consent revoked before send</x:v>
      </x:c>
      <x:c r="D190" s="10" t="str">
        <x:v>/admin/workspaces/communications</x:v>
      </x:c>
      <x:c r="E190" s="10" t="str">
        <x:v>communications_operator</x:v>
      </x:c>
      <x:c r="F190" s="10" t="str">
        <x:v>P1</x:v>
      </x:c>
      <x:c r="G190" s="10" t="str">
        <x:v>Isolated only</x:v>
      </x:c>
      <x:c r="H190" s="10" t="str">
        <x:v>Record deployed build. Use assigned test accounts, synthetic data and approved fixtures/recipients only.</x:v>
      </x:c>
      <x:c r="I190" s="10" t="str">
        <x:v>Withdraw isolated QA consent after queueing.</x:v>
      </x:c>
      <x:c r="J190" s="10" t="str">
        <x:v>Optional campaign eligibility rechecked and recipient skipped.</x:v>
      </x:c>
      <x:c r="K190" s="11" t="str"/>
      <x:c r="L190" s="11" t="str">
        <x:v>Not run</x:v>
      </x:c>
      <x:c r="M190" s="11" t="str"/>
      <x:c r="N190" s="11" t="str"/>
      <x:c r="O190" s="11" t="str"/>
      <x:c r="P190" s="11" t="str"/>
      <x:c r="Q190" s="11" t="str"/>
      <x:c r="R190" s="11" t="str"/>
      <x:c r="S190" s="10" t="str">
        <x:v>Browser + API + database</x:v>
      </x:c>
      <x:c r="T190" s="10" t="str">
        <x:v>Approved testing plan</x:v>
      </x:c>
      <x:c r="U190" s="10" t="str">
        <x:v>Reconcile tagged fixtures; archive/withdraw only owned test publications. Preserve audit/financial history.</x:v>
      </x:c>
      <x:c r="V190" s="12" t="str">
        <x:f>IF(A190="","",IF(L190="Not run","Pending",IF(OR(L190="Blocked",L190="Not deployed",L190="Not applicable"),IF(OR(K190="",R190=""),"Needs explanation","Recorded"),IF(OR(L190="Pass",L190="Fail"),IF(OR(K190="",M190="",P190=""),"Needs result/evidence/build","Recorded"),"Needs valid status"))))</x:f>
        <x:v>Pending</x:v>
      </x:c>
    </x:row>
    <x:row r="191" ht="38" customHeight="1">
      <x:c r="A191" s="10" t="str">
        <x:v>QA-0187</x:v>
      </x:c>
      <x:c r="B191" s="10" t="str">
        <x:v>L. Campaigns and inbox</x:v>
      </x:c>
      <x:c r="C191" s="10" t="str">
        <x:v>Quota and priority</x:v>
      </x:c>
      <x:c r="D191" s="10" t="str">
        <x:v>/admin/workspaces/communications</x:v>
      </x:c>
      <x:c r="E191" s="10" t="str">
        <x:v>communications_operator</x:v>
      </x:c>
      <x:c r="F191" s="10" t="str">
        <x:v>P1</x:v>
      </x:c>
      <x:c r="G191" s="10" t="str">
        <x:v>Isolated only</x:v>
      </x:c>
      <x:c r="H191" s="10" t="str">
        <x:v>Record deployed build. Use assigned test accounts, synthetic data and approved fixtures/recipients only.</x:v>
      </x:c>
      <x:c r="I191" s="10" t="str">
        <x:v>Simulate daily/monthly quota limits and transactional backlog.</x:v>
      </x:c>
      <x:c r="J191" s="10" t="str">
        <x:v>Queue respects configured limits/reserve and transactional priority; no plan upgrade.</x:v>
      </x:c>
      <x:c r="K191" s="11" t="str"/>
      <x:c r="L191" s="11" t="str">
        <x:v>Not run</x:v>
      </x:c>
      <x:c r="M191" s="11" t="str"/>
      <x:c r="N191" s="11" t="str"/>
      <x:c r="O191" s="11" t="str"/>
      <x:c r="P191" s="11" t="str"/>
      <x:c r="Q191" s="11" t="str"/>
      <x:c r="R191" s="11" t="str"/>
      <x:c r="S191" s="10" t="str">
        <x:v>Browser + API + database</x:v>
      </x:c>
      <x:c r="T191" s="10" t="str">
        <x:v>Approved testing plan</x:v>
      </x:c>
      <x:c r="U191" s="10" t="str">
        <x:v>Reconcile tagged fixtures; archive/withdraw only owned test publications. Preserve audit/financial history.</x:v>
      </x:c>
      <x:c r="V191" s="12" t="str">
        <x:f>IF(A191="","",IF(L191="Not run","Pending",IF(OR(L191="Blocked",L191="Not deployed",L191="Not applicable"),IF(OR(K191="",R191=""),"Needs explanation","Recorded"),IF(OR(L191="Pass",L191="Fail"),IF(OR(K191="",M191="",P191=""),"Needs result/evidence/build","Recorded"),"Needs valid status"))))</x:f>
        <x:v>Pending</x:v>
      </x:c>
    </x:row>
    <x:row r="192" ht="38" customHeight="1">
      <x:c r="A192" s="10" t="str">
        <x:v>QA-0188</x:v>
      </x:c>
      <x:c r="B192" s="10" t="str">
        <x:v>L. Campaigns and inbox</x:v>
      </x:c>
      <x:c r="C192" s="10" t="str">
        <x:v>Unsubscribe GET</x:v>
      </x:c>
      <x:c r="D192" s="10" t="str">
        <x:v>/admin/workspaces/communications</x:v>
      </x:c>
      <x:c r="E192" s="10" t="str">
        <x:v>communications_operator</x:v>
      </x:c>
      <x:c r="F192" s="10" t="str">
        <x:v>P1</x:v>
      </x:c>
      <x:c r="G192" s="10" t="str">
        <x:v>Live - tagged fixture</x:v>
      </x:c>
      <x:c r="H192" s="10" t="str">
        <x:v>Record deployed build. Use assigned test accounts, synthetic data and approved fixtures/recipients only.</x:v>
      </x:c>
      <x:c r="I192" s="10" t="str">
        <x:v>Open QA unsubscribe link without confirming destructive action.</x:v>
      </x:c>
      <x:c r="J192" s="10" t="str">
        <x:v>GET behavior follows safe contract; no unintended consent change.</x:v>
      </x:c>
      <x:c r="K192" s="11" t="str"/>
      <x:c r="L192" s="11" t="str">
        <x:v>Not run</x:v>
      </x:c>
      <x:c r="M192" s="11" t="str"/>
      <x:c r="N192" s="11" t="str"/>
      <x:c r="O192" s="11" t="str"/>
      <x:c r="P192" s="11" t="str"/>
      <x:c r="Q192" s="11" t="str"/>
      <x:c r="R192" s="11" t="str"/>
      <x:c r="S192" s="10" t="str">
        <x:v>Browser + API + database</x:v>
      </x:c>
      <x:c r="T192" s="10" t="str">
        <x:v>Approved testing plan</x:v>
      </x:c>
      <x:c r="U192" s="10" t="str">
        <x:v>Reconcile tagged fixtures; archive/withdraw only owned test publications. Preserve audit/financial history.</x:v>
      </x:c>
      <x:c r="V192" s="12" t="str">
        <x:f>IF(A192="","",IF(L192="Not run","Pending",IF(OR(L192="Blocked",L192="Not deployed",L192="Not applicable"),IF(OR(K192="",R192=""),"Needs explanation","Recorded"),IF(OR(L192="Pass",L192="Fail"),IF(OR(K192="",M192="",P192=""),"Needs result/evidence/build","Recorded"),"Needs valid status"))))</x:f>
        <x:v>Pending</x:v>
      </x:c>
    </x:row>
    <x:row r="193" ht="38" customHeight="1">
      <x:c r="A193" s="10" t="str">
        <x:v>QA-0189</x:v>
      </x:c>
      <x:c r="B193" s="10" t="str">
        <x:v>L. Campaigns and inbox</x:v>
      </x:c>
      <x:c r="C193" s="10" t="str">
        <x:v>Unsubscribe completion</x:v>
      </x:c>
      <x:c r="D193" s="10" t="str">
        <x:v>/admin/workspaces/communications</x:v>
      </x:c>
      <x:c r="E193" s="10" t="str">
        <x:v>communications_operator</x:v>
      </x:c>
      <x:c r="F193" s="10" t="str">
        <x:v>P1</x:v>
      </x:c>
      <x:c r="G193" s="10" t="str">
        <x:v>Live - tagged fixture</x:v>
      </x:c>
      <x:c r="H193" s="10" t="str">
        <x:v>Record deployed build. Use assigned test accounts, synthetic data and approved fixtures/recipients only.</x:v>
      </x:c>
      <x:c r="I193" s="10" t="str">
        <x:v>Complete supported unsubscribe then repeat request and preview next audience.</x:v>
      </x:c>
      <x:c r="J193" s="10" t="str">
        <x:v>Consent/suppression update idempotently; future optional campaign excludes recipient.</x:v>
      </x:c>
      <x:c r="K193" s="11" t="str"/>
      <x:c r="L193" s="11" t="str">
        <x:v>Not run</x:v>
      </x:c>
      <x:c r="M193" s="11" t="str"/>
      <x:c r="N193" s="11" t="str"/>
      <x:c r="O193" s="11" t="str"/>
      <x:c r="P193" s="11" t="str"/>
      <x:c r="Q193" s="11" t="str"/>
      <x:c r="R193" s="11" t="str"/>
      <x:c r="S193" s="10" t="str">
        <x:v>Browser + API + database</x:v>
      </x:c>
      <x:c r="T193" s="10" t="str">
        <x:v>Approved testing plan</x:v>
      </x:c>
      <x:c r="U193" s="10" t="str">
        <x:v>Reconcile tagged fixtures; archive/withdraw only owned test publications. Preserve audit/financial history.</x:v>
      </x:c>
      <x:c r="V193" s="12" t="str">
        <x:f>IF(A193="","",IF(L193="Not run","Pending",IF(OR(L193="Blocked",L193="Not deployed",L193="Not applicable"),IF(OR(K193="",R193=""),"Needs explanation","Recorded"),IF(OR(L193="Pass",L193="Fail"),IF(OR(K193="",M193="",P193=""),"Needs result/evidence/build","Recorded"),"Needs valid status"))))</x:f>
        <x:v>Pending</x:v>
      </x:c>
    </x:row>
    <x:row r="194" ht="38" customHeight="1">
      <x:c r="A194" s="10" t="str">
        <x:v>QA-0190</x:v>
      </x:c>
      <x:c r="B194" s="10" t="str">
        <x:v>L. Campaigns and inbox</x:v>
      </x:c>
      <x:c r="C194" s="10" t="str">
        <x:v>Inbound receipt</x:v>
      </x:c>
      <x:c r="D194" s="10" t="str">
        <x:v>/admin/workspaces/communications</x:v>
      </x:c>
      <x:c r="E194" s="10" t="str">
        <x:v>communications_operator</x:v>
      </x:c>
      <x:c r="F194" s="10" t="str">
        <x:v>P1</x:v>
      </x:c>
      <x:c r="G194" s="10" t="str">
        <x:v>Live - tagged fixture</x:v>
      </x:c>
      <x:c r="H194" s="10" t="str">
        <x:v>Record deployed build. Use assigned test accounts, synthetic data and approved fixtures/recipients only.</x:v>
      </x:c>
      <x:c r="I194" s="10" t="str">
        <x:v>Send one approved QA message to configured inbox.</x:v>
      </x:c>
      <x:c r="J194" s="10" t="str">
        <x:v>Correct recipient/identity and safe body ingestion; no unrelated mail.</x:v>
      </x:c>
      <x:c r="K194" s="11" t="str"/>
      <x:c r="L194" s="11" t="str">
        <x:v>Not run</x:v>
      </x:c>
      <x:c r="M194" s="11" t="str"/>
      <x:c r="N194" s="11" t="str"/>
      <x:c r="O194" s="11" t="str"/>
      <x:c r="P194" s="11" t="str"/>
      <x:c r="Q194" s="11" t="str"/>
      <x:c r="R194" s="11" t="str"/>
      <x:c r="S194" s="10" t="str">
        <x:v>Browser + API + database</x:v>
      </x:c>
      <x:c r="T194" s="10" t="str">
        <x:v>Approved testing plan</x:v>
      </x:c>
      <x:c r="U194" s="10" t="str">
        <x:v>Reconcile tagged fixtures; archive/withdraw only owned test publications. Preserve audit/financial history.</x:v>
      </x:c>
      <x:c r="V194" s="12" t="str">
        <x:f>IF(A194="","",IF(L194="Not run","Pending",IF(OR(L194="Blocked",L194="Not deployed",L194="Not applicable"),IF(OR(K194="",R194=""),"Needs explanation","Recorded"),IF(OR(L194="Pass",L194="Fail"),IF(OR(K194="",M194="",P194=""),"Needs result/evidence/build","Recorded"),"Needs valid status"))))</x:f>
        <x:v>Pending</x:v>
      </x:c>
    </x:row>
    <x:row r="195" ht="38" customHeight="1">
      <x:c r="A195" s="10" t="str">
        <x:v>QA-0191</x:v>
      </x:c>
      <x:c r="B195" s="10" t="str">
        <x:v>L. Campaigns and inbox</x:v>
      </x:c>
      <x:c r="C195" s="10" t="str">
        <x:v>Inbound threading</x:v>
      </x:c>
      <x:c r="D195" s="10" t="str">
        <x:v>/admin/workspaces/communications</x:v>
      </x:c>
      <x:c r="E195" s="10" t="str">
        <x:v>communications_operator</x:v>
      </x:c>
      <x:c r="F195" s="10" t="str">
        <x:v>P1</x:v>
      </x:c>
      <x:c r="G195" s="10" t="str">
        <x:v>Live - tagged fixture</x:v>
      </x:c>
      <x:c r="H195" s="10" t="str">
        <x:v>Record deployed build. Use assigned test accounts, synthetic data and approved fixtures/recipients only.</x:v>
      </x:c>
      <x:c r="I195" s="10" t="str">
        <x:v>Reply with known references; separately use same subject without references.</x:v>
      </x:c>
      <x:c r="J195" s="10" t="str">
        <x:v>Threading follows reference/correspondent rules, not subject-only guess.</x:v>
      </x:c>
      <x:c r="K195" s="11" t="str"/>
      <x:c r="L195" s="11" t="str">
        <x:v>Not run</x:v>
      </x:c>
      <x:c r="M195" s="11" t="str"/>
      <x:c r="N195" s="11" t="str"/>
      <x:c r="O195" s="11" t="str"/>
      <x:c r="P195" s="11" t="str"/>
      <x:c r="Q195" s="11" t="str"/>
      <x:c r="R195" s="11" t="str"/>
      <x:c r="S195" s="10" t="str">
        <x:v>Browser + API + database</x:v>
      </x:c>
      <x:c r="T195" s="10" t="str">
        <x:v>Approved testing plan</x:v>
      </x:c>
      <x:c r="U195" s="10" t="str">
        <x:v>Reconcile tagged fixtures; archive/withdraw only owned test publications. Preserve audit/financial history.</x:v>
      </x:c>
      <x:c r="V195" s="12" t="str">
        <x:f>IF(A195="","",IF(L195="Not run","Pending",IF(OR(L195="Blocked",L195="Not deployed",L195="Not applicable"),IF(OR(K195="",R195=""),"Needs explanation","Recorded"),IF(OR(L195="Pass",L195="Fail"),IF(OR(K195="",M195="",P195=""),"Needs result/evidence/build","Recorded"),"Needs valid status"))))</x:f>
        <x:v>Pending</x:v>
      </x:c>
    </x:row>
    <x:row r="196" ht="38" customHeight="1">
      <x:c r="A196" s="10" t="str">
        <x:v>QA-0192</x:v>
      </x:c>
      <x:c r="B196" s="10" t="str">
        <x:v>L. Campaigns and inbox</x:v>
      </x:c>
      <x:c r="C196" s="10" t="str">
        <x:v>Inbound attachments</x:v>
      </x:c>
      <x:c r="D196" s="10" t="str">
        <x:v>/admin/workspaces/communications</x:v>
      </x:c>
      <x:c r="E196" s="10" t="str">
        <x:v>communications_operator</x:v>
      </x:c>
      <x:c r="F196" s="10" t="str">
        <x:v>P1</x:v>
      </x:c>
      <x:c r="G196" s="10" t="str">
        <x:v>Live - tagged fixture</x:v>
      </x:c>
      <x:c r="H196" s="10" t="str">
        <x:v>Record deployed build. Use assigned test accounts, synthetic data and approved fixtures/recipients only.</x:v>
      </x:c>
      <x:c r="I196" s="10" t="str">
        <x:v>Send harmless QA attachment and inspect metadata handling.</x:v>
      </x:c>
      <x:c r="J196" s="10" t="str">
        <x:v>Only supported safe metadata shown; no unsolicited remote fetch/execute.</x:v>
      </x:c>
      <x:c r="K196" s="11" t="str"/>
      <x:c r="L196" s="11" t="str">
        <x:v>Not run</x:v>
      </x:c>
      <x:c r="M196" s="11" t="str"/>
      <x:c r="N196" s="11" t="str"/>
      <x:c r="O196" s="11" t="str"/>
      <x:c r="P196" s="11" t="str"/>
      <x:c r="Q196" s="11" t="str"/>
      <x:c r="R196" s="11" t="str"/>
      <x:c r="S196" s="10" t="str">
        <x:v>Browser + API + database</x:v>
      </x:c>
      <x:c r="T196" s="10" t="str">
        <x:v>Approved testing plan</x:v>
      </x:c>
      <x:c r="U196" s="10" t="str">
        <x:v>Reconcile tagged fixtures; archive/withdraw only owned test publications. Preserve audit/financial history.</x:v>
      </x:c>
      <x:c r="V196" s="12" t="str">
        <x:f>IF(A196="","",IF(L196="Not run","Pending",IF(OR(L196="Blocked",L196="Not deployed",L196="Not applicable"),IF(OR(K196="",R196=""),"Needs explanation","Recorded"),IF(OR(L196="Pass",L196="Fail"),IF(OR(K196="",M196="",P196=""),"Needs result/evidence/build","Recorded"),"Needs valid status"))))</x:f>
        <x:v>Pending</x:v>
      </x:c>
    </x:row>
    <x:row r="197" ht="38" customHeight="1">
      <x:c r="A197" s="10" t="str">
        <x:v>QA-0193</x:v>
      </x:c>
      <x:c r="B197" s="10" t="str">
        <x:v>L. Campaigns and inbox</x:v>
      </x:c>
      <x:c r="C197" s="10" t="str">
        <x:v>Reply draft and assignment</x:v>
      </x:c>
      <x:c r="D197" s="10" t="str">
        <x:v>/admin/workspaces/communications</x:v>
      </x:c>
      <x:c r="E197" s="10" t="str">
        <x:v>communications_operator</x:v>
      </x:c>
      <x:c r="F197" s="10" t="str">
        <x:v>P1</x:v>
      </x:c>
      <x:c r="G197" s="10" t="str">
        <x:v>Live - tagged fixture</x:v>
      </x:c>
      <x:c r="H197" s="10" t="str">
        <x:v>Record deployed build. Use assigned test accounts, synthetic data and approved fixtures/recipients only.</x:v>
      </x:c>
      <x:c r="I197" s="10" t="str">
        <x:v>Save reply/notes/assignment, switch tabs and reload.</x:v>
      </x:c>
      <x:c r="J197" s="10" t="str">
        <x:v>Correct private persistence and stale-edit protection.</x:v>
      </x:c>
      <x:c r="K197" s="11" t="str"/>
      <x:c r="L197" s="11" t="str">
        <x:v>Not run</x:v>
      </x:c>
      <x:c r="M197" s="11" t="str"/>
      <x:c r="N197" s="11" t="str"/>
      <x:c r="O197" s="11" t="str"/>
      <x:c r="P197" s="11" t="str"/>
      <x:c r="Q197" s="11" t="str"/>
      <x:c r="R197" s="11" t="str"/>
      <x:c r="S197" s="10" t="str">
        <x:v>Browser + API + database</x:v>
      </x:c>
      <x:c r="T197" s="10" t="str">
        <x:v>Approved testing plan</x:v>
      </x:c>
      <x:c r="U197" s="10" t="str">
        <x:v>Reconcile tagged fixtures; archive/withdraw only owned test publications. Preserve audit/financial history.</x:v>
      </x:c>
      <x:c r="V197" s="12" t="str">
        <x:f>IF(A197="","",IF(L197="Not run","Pending",IF(OR(L197="Blocked",L197="Not deployed",L197="Not applicable"),IF(OR(K197="",R197=""),"Needs explanation","Recorded"),IF(OR(L197="Pass",L197="Fail"),IF(OR(K197="",M197="",P197=""),"Needs result/evidence/build","Recorded"),"Needs valid status"))))</x:f>
        <x:v>Pending</x:v>
      </x:c>
    </x:row>
    <x:row r="198" ht="38" customHeight="1">
      <x:c r="A198" s="10" t="str">
        <x:v>QA-0194</x:v>
      </x:c>
      <x:c r="B198" s="10" t="str">
        <x:v>L. Campaigns and inbox</x:v>
      </x:c>
      <x:c r="C198" s="10" t="str">
        <x:v>Approved test reply</x:v>
      </x:c>
      <x:c r="D198" s="10" t="str">
        <x:v>/admin/workspaces/communications</x:v>
      </x:c>
      <x:c r="E198" s="10" t="str">
        <x:v>communications_operator</x:v>
      </x:c>
      <x:c r="F198" s="10" t="str">
        <x:v>P1</x:v>
      </x:c>
      <x:c r="G198" s="10" t="str">
        <x:v>Live - tagged fixture</x:v>
      </x:c>
      <x:c r="H198" s="10" t="str">
        <x:v>Record deployed build. Use assigned test accounts, synthetic data and approved fixtures/recipients only.</x:v>
      </x:c>
      <x:c r="I198" s="10" t="str">
        <x:v>Confirm reply to approved QA correspondent and inspect actual inbox.</x:v>
      </x:c>
      <x:c r="J198" s="10" t="str">
        <x:v>One correct reply; stale replay blocked; separate delivery/receipt evidence.</x:v>
      </x:c>
      <x:c r="K198" s="11" t="str"/>
      <x:c r="L198" s="11" t="str">
        <x:v>Not run</x:v>
      </x:c>
      <x:c r="M198" s="11" t="str"/>
      <x:c r="N198" s="11" t="str"/>
      <x:c r="O198" s="11" t="str"/>
      <x:c r="P198" s="11" t="str"/>
      <x:c r="Q198" s="11" t="str"/>
      <x:c r="R198" s="11" t="str"/>
      <x:c r="S198" s="10" t="str">
        <x:v>Browser + API + database</x:v>
      </x:c>
      <x:c r="T198" s="10" t="str">
        <x:v>Approved testing plan</x:v>
      </x:c>
      <x:c r="U198" s="10" t="str">
        <x:v>Reconcile tagged fixtures; archive/withdraw only owned test publications. Preserve audit/financial history.</x:v>
      </x:c>
      <x:c r="V198" s="12" t="str">
        <x:f>IF(A198="","",IF(L198="Not run","Pending",IF(OR(L198="Blocked",L198="Not deployed",L198="Not applicable"),IF(OR(K198="",R198=""),"Needs explanation","Recorded"),IF(OR(L198="Pass",L198="Fail"),IF(OR(K198="",M198="",P198=""),"Needs result/evidence/build","Recorded"),"Needs valid status"))))</x:f>
        <x:v>Pending</x:v>
      </x:c>
    </x:row>
    <x:row r="199" ht="38" customHeight="1">
      <x:c r="A199" s="10" t="str">
        <x:v>QA-0195</x:v>
      </x:c>
      <x:c r="B199" s="10" t="str">
        <x:v>L. Campaigns and inbox</x:v>
      </x:c>
      <x:c r="C199" s="10" t="str">
        <x:v>Unsupported channel</x:v>
      </x:c>
      <x:c r="D199" s="10" t="str">
        <x:v>/admin/workspaces/communications</x:v>
      </x:c>
      <x:c r="E199" s="10" t="str">
        <x:v>communications_operator</x:v>
      </x:c>
      <x:c r="F199" s="10" t="str">
        <x:v>P1</x:v>
      </x:c>
      <x:c r="G199" s="10" t="str">
        <x:v>Isolated only</x:v>
      </x:c>
      <x:c r="H199" s="10" t="str">
        <x:v>Record deployed build. Use assigned test accounts, synthetic data and approved fixtures/recipients only.</x:v>
      </x:c>
      <x:c r="I199" s="10" t="str">
        <x:v>Attempt unsupported schedule/channel/attachment action in isolation.</x:v>
      </x:c>
      <x:c r="J199" s="10" t="str">
        <x:v>Clear disabled/rejected outcome; no false send or queued side effect.</x:v>
      </x:c>
      <x:c r="K199" s="11" t="str"/>
      <x:c r="L199" s="11" t="str">
        <x:v>Not run</x:v>
      </x:c>
      <x:c r="M199" s="11" t="str"/>
      <x:c r="N199" s="11" t="str"/>
      <x:c r="O199" s="11" t="str"/>
      <x:c r="P199" s="11" t="str"/>
      <x:c r="Q199" s="11" t="str"/>
      <x:c r="R199" s="11" t="str"/>
      <x:c r="S199" s="10" t="str">
        <x:v>Browser + API + database</x:v>
      </x:c>
      <x:c r="T199" s="10" t="str">
        <x:v>Approved testing plan</x:v>
      </x:c>
      <x:c r="U199" s="10" t="str">
        <x:v>Reconcile tagged fixtures; archive/withdraw only owned test publications. Preserve audit/financial history.</x:v>
      </x:c>
      <x:c r="V199" s="12" t="str">
        <x:f>IF(A199="","",IF(L199="Not run","Pending",IF(OR(L199="Blocked",L199="Not deployed",L199="Not applicable"),IF(OR(K199="",R199=""),"Needs explanation","Recorded"),IF(OR(L199="Pass",L199="Fail"),IF(OR(K199="",M199="",P199=""),"Needs result/evidence/build","Recorded"),"Needs valid status"))))</x:f>
        <x:v>Pending</x:v>
      </x:c>
    </x:row>
    <x:row r="200" ht="38" customHeight="1">
      <x:c r="A200" s="10" t="str">
        <x:v>QA-0196</x:v>
      </x:c>
      <x:c r="B200" s="10" t="str">
        <x:v>M. CMS and settings</x:v>
      </x:c>
      <x:c r="C200" s="10" t="str">
        <x:v>Rich content draft</x:v>
      </x:c>
      <x:c r="D200" s="10" t="str">
        <x:v>/admin/workspaces/content /admin/workspaces/website</x:v>
      </x:c>
      <x:c r="E200" s="10" t="str">
        <x:v>content_editor / administrator</x:v>
      </x:c>
      <x:c r="F200" s="10" t="str">
        <x:v>P1</x:v>
      </x:c>
      <x:c r="G200" s="10" t="str">
        <x:v>Live - tagged fixture</x:v>
      </x:c>
      <x:c r="H200" s="10" t="str">
        <x:v>Record deployed build. Use assigned test accounts, synthetic data and approved fixtures/recipients only.</x:v>
      </x:c>
      <x:c r="I200" s="10" t="str">
        <x:v>Create QA article/page with supported headings, links, image and table.</x:v>
      </x:c>
      <x:c r="J200" s="10" t="str">
        <x:v>Editor saves/renders equivalent safe content.</x:v>
      </x:c>
      <x:c r="K200" s="11" t="str"/>
      <x:c r="L200" s="11" t="str">
        <x:v>Not run</x:v>
      </x:c>
      <x:c r="M200" s="11" t="str"/>
      <x:c r="N200" s="11" t="str"/>
      <x:c r="O200" s="11" t="str"/>
      <x:c r="P200" s="11" t="str"/>
      <x:c r="Q200" s="11" t="str"/>
      <x:c r="R200" s="11" t="str"/>
      <x:c r="S200" s="10" t="str">
        <x:v>Browser + API + database</x:v>
      </x:c>
      <x:c r="T200" s="10" t="str">
        <x:v>Approved testing plan</x:v>
      </x:c>
      <x:c r="U200" s="10" t="str">
        <x:v>Reconcile tagged fixtures; archive/withdraw only owned test publications. Preserve audit/financial history.</x:v>
      </x:c>
      <x:c r="V200" s="12" t="str">
        <x:f>IF(A200="","",IF(L200="Not run","Pending",IF(OR(L200="Blocked",L200="Not deployed",L200="Not applicable"),IF(OR(K200="",R200=""),"Needs explanation","Recorded"),IF(OR(L200="Pass",L200="Fail"),IF(OR(K200="",M200="",P200=""),"Needs result/evidence/build","Recorded"),"Needs valid status"))))</x:f>
        <x:v>Pending</x:v>
      </x:c>
    </x:row>
    <x:row r="201" ht="38" customHeight="1">
      <x:c r="A201" s="10" t="str">
        <x:v>QA-0197</x:v>
      </x:c>
      <x:c r="B201" s="10" t="str">
        <x:v>M. CMS and settings</x:v>
      </x:c>
      <x:c r="C201" s="10" t="str">
        <x:v>Draft publication isolation</x:v>
      </x:c>
      <x:c r="D201" s="10" t="str">
        <x:v>/admin/workspaces/content /admin/workspaces/website</x:v>
      </x:c>
      <x:c r="E201" s="10" t="str">
        <x:v>content_editor / administrator</x:v>
      </x:c>
      <x:c r="F201" s="10" t="str">
        <x:v>P1</x:v>
      </x:c>
      <x:c r="G201" s="10" t="str">
        <x:v>Live - tagged fixture</x:v>
      </x:c>
      <x:c r="H201" s="10" t="str">
        <x:v>Record deployed build. Use assigned test accounts, synthetic data and approved fixtures/recipients only.</x:v>
      </x:c>
      <x:c r="I201" s="10" t="str">
        <x:v>Edit saved QA published item without publishing again.</x:v>
      </x:c>
      <x:c r="J201" s="10" t="str">
        <x:v>Public snapshot remains unchanged.</x:v>
      </x:c>
      <x:c r="K201" s="11" t="str"/>
      <x:c r="L201" s="11" t="str">
        <x:v>Not run</x:v>
      </x:c>
      <x:c r="M201" s="11" t="str"/>
      <x:c r="N201" s="11" t="str"/>
      <x:c r="O201" s="11" t="str"/>
      <x:c r="P201" s="11" t="str"/>
      <x:c r="Q201" s="11" t="str"/>
      <x:c r="R201" s="11" t="str"/>
      <x:c r="S201" s="10" t="str">
        <x:v>Browser + API + database</x:v>
      </x:c>
      <x:c r="T201" s="10" t="str">
        <x:v>Approved testing plan</x:v>
      </x:c>
      <x:c r="U201" s="10" t="str">
        <x:v>Reconcile tagged fixtures; archive/withdraw only owned test publications. Preserve audit/financial history.</x:v>
      </x:c>
      <x:c r="V201" s="12" t="str">
        <x:f>IF(A201="","",IF(L201="Not run","Pending",IF(OR(L201="Blocked",L201="Not deployed",L201="Not applicable"),IF(OR(K201="",R201=""),"Needs explanation","Recorded"),IF(OR(L201="Pass",L201="Fail"),IF(OR(K201="",M201="",P201=""),"Needs result/evidence/build","Recorded"),"Needs valid status"))))</x:f>
        <x:v>Pending</x:v>
      </x:c>
    </x:row>
    <x:row r="202" ht="38" customHeight="1">
      <x:c r="A202" s="10" t="str">
        <x:v>QA-0198</x:v>
      </x:c>
      <x:c r="B202" s="10" t="str">
        <x:v>M. CMS and settings</x:v>
      </x:c>
      <x:c r="C202" s="10" t="str">
        <x:v>Preview publish</x:v>
      </x:c>
      <x:c r="D202" s="10" t="str">
        <x:v>/admin/workspaces/content /admin/workspaces/website</x:v>
      </x:c>
      <x:c r="E202" s="10" t="str">
        <x:v>content_editor / administrator</x:v>
      </x:c>
      <x:c r="F202" s="10" t="str">
        <x:v>P1</x:v>
      </x:c>
      <x:c r="G202" s="10" t="str">
        <x:v>Live - tagged fixture</x:v>
      </x:c>
      <x:c r="H202" s="10" t="str">
        <x:v>Record deployed build. Use assigned test accounts, synthetic data and approved fixtures/recipients only.</x:v>
      </x:c>
      <x:c r="I202" s="10" t="str">
        <x:v>Preview saved QA version, explicitly publish and open anonymous detail.</x:v>
      </x:c>
      <x:c r="J202" s="10" t="str">
        <x:v>Published snapshot matches reviewed version.</x:v>
      </x:c>
      <x:c r="K202" s="11" t="str"/>
      <x:c r="L202" s="11" t="str">
        <x:v>Not run</x:v>
      </x:c>
      <x:c r="M202" s="11" t="str"/>
      <x:c r="N202" s="11" t="str"/>
      <x:c r="O202" s="11" t="str"/>
      <x:c r="P202" s="11" t="str"/>
      <x:c r="Q202" s="11" t="str"/>
      <x:c r="R202" s="11" t="str"/>
      <x:c r="S202" s="10" t="str">
        <x:v>Browser + API + database</x:v>
      </x:c>
      <x:c r="T202" s="10" t="str">
        <x:v>Approved testing plan</x:v>
      </x:c>
      <x:c r="U202" s="10" t="str">
        <x:v>Reconcile tagged fixtures; archive/withdraw only owned test publications. Preserve audit/financial history.</x:v>
      </x:c>
      <x:c r="V202" s="12" t="str">
        <x:f>IF(A202="","",IF(L202="Not run","Pending",IF(OR(L202="Blocked",L202="Not deployed",L202="Not applicable"),IF(OR(K202="",R202=""),"Needs explanation","Recorded"),IF(OR(L202="Pass",L202="Fail"),IF(OR(K202="",M202="",P202=""),"Needs result/evidence/build","Recorded"),"Needs valid status"))))</x:f>
        <x:v>Pending</x:v>
      </x:c>
    </x:row>
    <x:row r="203" ht="38" customHeight="1">
      <x:c r="A203" s="10" t="str">
        <x:v>QA-0199</x:v>
      </x:c>
      <x:c r="B203" s="10" t="str">
        <x:v>M. CMS and settings</x:v>
      </x:c>
      <x:c r="C203" s="10" t="str">
        <x:v>Withdraw archive</x:v>
      </x:c>
      <x:c r="D203" s="10" t="str">
        <x:v>/admin/workspaces/content /admin/workspaces/website</x:v>
      </x:c>
      <x:c r="E203" s="10" t="str">
        <x:v>content_editor / administrator</x:v>
      </x:c>
      <x:c r="F203" s="10" t="str">
        <x:v>P1</x:v>
      </x:c>
      <x:c r="G203" s="10" t="str">
        <x:v>Live - tagged fixture</x:v>
      </x:c>
      <x:c r="H203" s="10" t="str">
        <x:v>Record deployed build. Use assigned test accounts, synthetic data and approved fixtures/recipients only.</x:v>
      </x:c>
      <x:c r="I203" s="10" t="str">
        <x:v>Withdraw/archive QA content via supported action and retry URL.</x:v>
      </x:c>
      <x:c r="J203" s="10" t="str">
        <x:v>Removed from intended public surface; history preserved.</x:v>
      </x:c>
      <x:c r="K203" s="11" t="str"/>
      <x:c r="L203" s="11" t="str">
        <x:v>Not run</x:v>
      </x:c>
      <x:c r="M203" s="11" t="str"/>
      <x:c r="N203" s="11" t="str"/>
      <x:c r="O203" s="11" t="str"/>
      <x:c r="P203" s="11" t="str"/>
      <x:c r="Q203" s="11" t="str"/>
      <x:c r="R203" s="11" t="str"/>
      <x:c r="S203" s="10" t="str">
        <x:v>Browser + API + database</x:v>
      </x:c>
      <x:c r="T203" s="10" t="str">
        <x:v>Approved testing plan</x:v>
      </x:c>
      <x:c r="U203" s="10" t="str">
        <x:v>Reconcile tagged fixtures; archive/withdraw only owned test publications. Preserve audit/financial history.</x:v>
      </x:c>
      <x:c r="V203" s="12" t="str">
        <x:f>IF(A203="","",IF(L203="Not run","Pending",IF(OR(L203="Blocked",L203="Not deployed",L203="Not applicable"),IF(OR(K203="",R203=""),"Needs explanation","Recorded"),IF(OR(L203="Pass",L203="Fail"),IF(OR(K203="",M203="",P203=""),"Needs result/evidence/build","Recorded"),"Needs valid status"))))</x:f>
        <x:v>Pending</x:v>
      </x:c>
    </x:row>
    <x:row r="204" ht="38" customHeight="1">
      <x:c r="A204" s="10" t="str">
        <x:v>QA-0200</x:v>
      </x:c>
      <x:c r="B204" s="10" t="str">
        <x:v>M. CMS and settings</x:v>
      </x:c>
      <x:c r="C204" s="10" t="str">
        <x:v>Stale editorial action</x:v>
      </x:c>
      <x:c r="D204" s="10" t="str">
        <x:v>/admin/workspaces/content /admin/workspaces/website</x:v>
      </x:c>
      <x:c r="E204" s="10" t="str">
        <x:v>content_editor / administrator</x:v>
      </x:c>
      <x:c r="F204" s="10" t="str">
        <x:v>P1</x:v>
      </x:c>
      <x:c r="G204" s="10" t="str">
        <x:v>Live - tagged fixture</x:v>
      </x:c>
      <x:c r="H204" s="10" t="str">
        <x:v>Record deployed build. Use assigned test accounts, synthetic data and approved fixtures/recipients only.</x:v>
      </x:c>
      <x:c r="I204" s="10" t="str">
        <x:v>Edit/publish same QA version from two tabs.</x:v>
      </x:c>
      <x:c r="J204" s="10" t="str">
        <x:v>Conflict blocks stale overwrite/publication.</x:v>
      </x:c>
      <x:c r="K204" s="11" t="str"/>
      <x:c r="L204" s="11" t="str">
        <x:v>Not run</x:v>
      </x:c>
      <x:c r="M204" s="11" t="str"/>
      <x:c r="N204" s="11" t="str"/>
      <x:c r="O204" s="11" t="str"/>
      <x:c r="P204" s="11" t="str"/>
      <x:c r="Q204" s="11" t="str"/>
      <x:c r="R204" s="11" t="str"/>
      <x:c r="S204" s="10" t="str">
        <x:v>Browser + API + database</x:v>
      </x:c>
      <x:c r="T204" s="10" t="str">
        <x:v>Approved testing plan</x:v>
      </x:c>
      <x:c r="U204" s="10" t="str">
        <x:v>Reconcile tagged fixtures; archive/withdraw only owned test publications. Preserve audit/financial history.</x:v>
      </x:c>
      <x:c r="V204" s="12" t="str">
        <x:f>IF(A204="","",IF(L204="Not run","Pending",IF(OR(L204="Blocked",L204="Not deployed",L204="Not applicable"),IF(OR(K204="",R204=""),"Needs explanation","Recorded"),IF(OR(L204="Pass",L204="Fail"),IF(OR(K204="",M204="",P204=""),"Needs result/evidence/build","Recorded"),"Needs valid status"))))</x:f>
        <x:v>Pending</x:v>
      </x:c>
    </x:row>
    <x:row r="205" ht="38" customHeight="1">
      <x:c r="A205" s="10" t="str">
        <x:v>QA-0201</x:v>
      </x:c>
      <x:c r="B205" s="10" t="str">
        <x:v>M. CMS and settings</x:v>
      </x:c>
      <x:c r="C205" s="10" t="str">
        <x:v>Section order and anchors</x:v>
      </x:c>
      <x:c r="D205" s="10" t="str">
        <x:v>/admin/workspaces/content /admin/workspaces/website</x:v>
      </x:c>
      <x:c r="E205" s="10" t="str">
        <x:v>content_editor / administrator</x:v>
      </x:c>
      <x:c r="F205" s="10" t="str">
        <x:v>P1</x:v>
      </x:c>
      <x:c r="G205" s="10" t="str">
        <x:v>Live - tagged fixture</x:v>
      </x:c>
      <x:c r="H205" s="10" t="str">
        <x:v>Record deployed build. Use assigned test accounts, synthetic data and approved fixtures/recipients only.</x:v>
      </x:c>
      <x:c r="I205" s="10" t="str">
        <x:v>Change permitted QA page headings/copy and follow submenu anchors.</x:v>
      </x:c>
      <x:c r="J205" s="10" t="str">
        <x:v>Required structural order/count/anchors remain correct.</x:v>
      </x:c>
      <x:c r="K205" s="11" t="str"/>
      <x:c r="L205" s="11" t="str">
        <x:v>Not run</x:v>
      </x:c>
      <x:c r="M205" s="11" t="str"/>
      <x:c r="N205" s="11" t="str"/>
      <x:c r="O205" s="11" t="str"/>
      <x:c r="P205" s="11" t="str"/>
      <x:c r="Q205" s="11" t="str"/>
      <x:c r="R205" s="11" t="str"/>
      <x:c r="S205" s="10" t="str">
        <x:v>Browser + API + database</x:v>
      </x:c>
      <x:c r="T205" s="10" t="str">
        <x:v>Approved testing plan</x:v>
      </x:c>
      <x:c r="U205" s="10" t="str">
        <x:v>Reconcile tagged fixtures; archive/withdraw only owned test publications. Preserve audit/financial history.</x:v>
      </x:c>
      <x:c r="V205" s="12" t="str">
        <x:f>IF(A205="","",IF(L205="Not run","Pending",IF(OR(L205="Blocked",L205="Not deployed",L205="Not applicable"),IF(OR(K205="",R205=""),"Needs explanation","Recorded"),IF(OR(L205="Pass",L205="Fail"),IF(OR(K205="",M205="",P205=""),"Needs result/evidence/build","Recorded"),"Needs valid status"))))</x:f>
        <x:v>Pending</x:v>
      </x:c>
    </x:row>
    <x:row r="206" ht="38" customHeight="1">
      <x:c r="A206" s="10" t="str">
        <x:v>QA-0202</x:v>
      </x:c>
      <x:c r="B206" s="10" t="str">
        <x:v>M. CMS and settings</x:v>
      </x:c>
      <x:c r="C206" s="10" t="str">
        <x:v>Homepage controls</x:v>
      </x:c>
      <x:c r="D206" s="10" t="str">
        <x:v>/admin/workspaces/content /admin/workspaces/website</x:v>
      </x:c>
      <x:c r="E206" s="10" t="str">
        <x:v>content_editor / administrator</x:v>
      </x:c>
      <x:c r="F206" s="10" t="str">
        <x:v>P1</x:v>
      </x:c>
      <x:c r="G206" s="10" t="str">
        <x:v>Isolated only</x:v>
      </x:c>
      <x:c r="H206" s="10" t="str">
        <x:v>Record deployed build. Use assigned test accounts, synthetic data and approved fixtures/recipients only.</x:v>
      </x:c>
      <x:c r="I206" s="10" t="str">
        <x:v>Use isolated clone for homepage heading/cards/CTA/guide settings.</x:v>
      </x:c>
      <x:c r="J206" s="10" t="str">
        <x:v>Preview/save/publication updates intended slots only.</x:v>
      </x:c>
      <x:c r="K206" s="11" t="str"/>
      <x:c r="L206" s="11" t="str">
        <x:v>Not run</x:v>
      </x:c>
      <x:c r="M206" s="11" t="str"/>
      <x:c r="N206" s="11" t="str"/>
      <x:c r="O206" s="11" t="str"/>
      <x:c r="P206" s="11" t="str"/>
      <x:c r="Q206" s="11" t="str"/>
      <x:c r="R206" s="11" t="str"/>
      <x:c r="S206" s="10" t="str">
        <x:v>Browser + API + database</x:v>
      </x:c>
      <x:c r="T206" s="10" t="str">
        <x:v>Approved testing plan</x:v>
      </x:c>
      <x:c r="U206" s="10" t="str">
        <x:v>Reconcile tagged fixtures; archive/withdraw only owned test publications. Preserve audit/financial history.</x:v>
      </x:c>
      <x:c r="V206" s="12" t="str">
        <x:f>IF(A206="","",IF(L206="Not run","Pending",IF(OR(L206="Blocked",L206="Not deployed",L206="Not applicable"),IF(OR(K206="",R206=""),"Needs explanation","Recorded"),IF(OR(L206="Pass",L206="Fail"),IF(OR(K206="",M206="",P206=""),"Needs result/evidence/build","Recorded"),"Needs valid status"))))</x:f>
        <x:v>Pending</x:v>
      </x:c>
    </x:row>
    <x:row r="207" ht="38" customHeight="1">
      <x:c r="A207" s="10" t="str">
        <x:v>QA-0203</x:v>
      </x:c>
      <x:c r="B207" s="10" t="str">
        <x:v>M. CMS and settings</x:v>
      </x:c>
      <x:c r="C207" s="10" t="str">
        <x:v>Branding header footer</x:v>
      </x:c>
      <x:c r="D207" s="10" t="str">
        <x:v>/admin/workspaces/content /admin/workspaces/website</x:v>
      </x:c>
      <x:c r="E207" s="10" t="str">
        <x:v>content_editor / administrator</x:v>
      </x:c>
      <x:c r="F207" s="10" t="str">
        <x:v>P1</x:v>
      </x:c>
      <x:c r="G207" s="10" t="str">
        <x:v>Isolated only</x:v>
      </x:c>
      <x:c r="H207" s="10" t="str">
        <x:v>Record deployed build. Use assigned test accounts, synthetic data and approved fixtures/recipients only.</x:v>
      </x:c>
      <x:c r="I207" s="10" t="str">
        <x:v>Use isolated clone to edit brand/logo/menu/footer/contact settings.</x:v>
      </x:c>
      <x:c r="J207" s="10" t="str">
        <x:v>All shared shells update consistently; identity/artwork proportions preserved.</x:v>
      </x:c>
      <x:c r="K207" s="11" t="str"/>
      <x:c r="L207" s="11" t="str">
        <x:v>Not run</x:v>
      </x:c>
      <x:c r="M207" s="11" t="str"/>
      <x:c r="N207" s="11" t="str"/>
      <x:c r="O207" s="11" t="str"/>
      <x:c r="P207" s="11" t="str"/>
      <x:c r="Q207" s="11" t="str"/>
      <x:c r="R207" s="11" t="str"/>
      <x:c r="S207" s="10" t="str">
        <x:v>Browser + API + database</x:v>
      </x:c>
      <x:c r="T207" s="10" t="str">
        <x:v>Approved testing plan</x:v>
      </x:c>
      <x:c r="U207" s="10" t="str">
        <x:v>Reconcile tagged fixtures; archive/withdraw only owned test publications. Preserve audit/financial history.</x:v>
      </x:c>
      <x:c r="V207" s="12" t="str">
        <x:f>IF(A207="","",IF(L207="Not run","Pending",IF(OR(L207="Blocked",L207="Not deployed",L207="Not applicable"),IF(OR(K207="",R207=""),"Needs explanation","Recorded"),IF(OR(L207="Pass",L207="Fail"),IF(OR(K207="",M207="",P207=""),"Needs result/evidence/build","Recorded"),"Needs valid status"))))</x:f>
        <x:v>Pending</x:v>
      </x:c>
    </x:row>
    <x:row r="208" ht="38" customHeight="1">
      <x:c r="A208" s="10" t="str">
        <x:v>QA-0204</x:v>
      </x:c>
      <x:c r="B208" s="10" t="str">
        <x:v>M. CMS and settings</x:v>
      </x:c>
      <x:c r="C208" s="10" t="str">
        <x:v>Metadata controls</x:v>
      </x:c>
      <x:c r="D208" s="10" t="str">
        <x:v>/admin/workspaces/content /admin/workspaces/website</x:v>
      </x:c>
      <x:c r="E208" s="10" t="str">
        <x:v>content_editor / administrator</x:v>
      </x:c>
      <x:c r="F208" s="10" t="str">
        <x:v>P1</x:v>
      </x:c>
      <x:c r="G208" s="10" t="str">
        <x:v>Isolated only</x:v>
      </x:c>
      <x:c r="H208" s="10" t="str">
        <x:v>Record deployed build. Use assigned test accounts, synthetic data and approved fixtures/recipients only.</x:v>
      </x:c>
      <x:c r="I208" s="10" t="str">
        <x:v>Change isolated shared title/description and inspect route-specific pages.</x:v>
      </x:c>
      <x:c r="J208" s="10" t="str">
        <x:v>Defaults apply appropriately without overriding protected page-specific behavior.</x:v>
      </x:c>
      <x:c r="K208" s="11" t="str"/>
      <x:c r="L208" s="11" t="str">
        <x:v>Not run</x:v>
      </x:c>
      <x:c r="M208" s="11" t="str"/>
      <x:c r="N208" s="11" t="str"/>
      <x:c r="O208" s="11" t="str"/>
      <x:c r="P208" s="11" t="str"/>
      <x:c r="Q208" s="11" t="str"/>
      <x:c r="R208" s="11" t="str"/>
      <x:c r="S208" s="10" t="str">
        <x:v>Browser + API + database</x:v>
      </x:c>
      <x:c r="T208" s="10" t="str">
        <x:v>Approved testing plan</x:v>
      </x:c>
      <x:c r="U208" s="10" t="str">
        <x:v>Reconcile tagged fixtures; archive/withdraw only owned test publications. Preserve audit/financial history.</x:v>
      </x:c>
      <x:c r="V208" s="12" t="str">
        <x:f>IF(A208="","",IF(L208="Not run","Pending",IF(OR(L208="Blocked",L208="Not deployed",L208="Not applicable"),IF(OR(K208="",R208=""),"Needs explanation","Recorded"),IF(OR(L208="Pass",L208="Fail"),IF(OR(K208="",M208="",P208=""),"Needs result/evidence/build","Recorded"),"Needs valid status"))))</x:f>
        <x:v>Pending</x:v>
      </x:c>
    </x:row>
    <x:row r="209" ht="38" customHeight="1">
      <x:c r="A209" s="10" t="str">
        <x:v>QA-0205</x:v>
      </x:c>
      <x:c r="B209" s="10" t="str">
        <x:v>M. CMS and settings</x:v>
      </x:c>
      <x:c r="C209" s="10" t="str">
        <x:v>Important links</x:v>
      </x:c>
      <x:c r="D209" s="10" t="str">
        <x:v>/admin/workspaces/content /admin/workspaces/website</x:v>
      </x:c>
      <x:c r="E209" s="10" t="str">
        <x:v>content_editor / administrator</x:v>
      </x:c>
      <x:c r="F209" s="10" t="str">
        <x:v>P1</x:v>
      </x:c>
      <x:c r="G209" s="10" t="str">
        <x:v>Live - tagged fixture</x:v>
      </x:c>
      <x:c r="H209" s="10" t="str">
        <x:v>Record deployed build. Use assigned test accounts, synthetic data and approved fixtures/recipients only.</x:v>
      </x:c>
      <x:c r="I209" s="10" t="str">
        <x:v>Create ordered QA link, publish, edit and withdraw.</x:v>
      </x:c>
      <x:c r="J209" s="10" t="str">
        <x:v>Only published current link visible; HTTPS validation enforced.</x:v>
      </x:c>
      <x:c r="K209" s="11" t="str"/>
      <x:c r="L209" s="11" t="str">
        <x:v>Not run</x:v>
      </x:c>
      <x:c r="M209" s="11" t="str"/>
      <x:c r="N209" s="11" t="str"/>
      <x:c r="O209" s="11" t="str"/>
      <x:c r="P209" s="11" t="str"/>
      <x:c r="Q209" s="11" t="str"/>
      <x:c r="R209" s="11" t="str"/>
      <x:c r="S209" s="10" t="str">
        <x:v>Browser + API + database</x:v>
      </x:c>
      <x:c r="T209" s="10" t="str">
        <x:v>Approved testing plan</x:v>
      </x:c>
      <x:c r="U209" s="10" t="str">
        <x:v>Reconcile tagged fixtures; archive/withdraw only owned test publications. Preserve audit/financial history.</x:v>
      </x:c>
      <x:c r="V209" s="12" t="str">
        <x:f>IF(A209="","",IF(L209="Not run","Pending",IF(OR(L209="Blocked",L209="Not deployed",L209="Not applicable"),IF(OR(K209="",R209=""),"Needs explanation","Recorded"),IF(OR(L209="Pass",L209="Fail"),IF(OR(K209="",M209="",P209=""),"Needs result/evidence/build","Recorded"),"Needs valid status"))))</x:f>
        <x:v>Pending</x:v>
      </x:c>
    </x:row>
    <x:row r="210" ht="38" customHeight="1">
      <x:c r="A210" s="10" t="str">
        <x:v>QA-0206</x:v>
      </x:c>
      <x:c r="B210" s="10" t="str">
        <x:v>M. CMS and settings</x:v>
      </x:c>
      <x:c r="C210" s="10" t="str">
        <x:v>Download publication</x:v>
      </x:c>
      <x:c r="D210" s="10" t="str">
        <x:v>/admin/workspaces/content /admin/workspaces/website</x:v>
      </x:c>
      <x:c r="E210" s="10" t="str">
        <x:v>content_editor / administrator</x:v>
      </x:c>
      <x:c r="F210" s="10" t="str">
        <x:v>P1</x:v>
      </x:c>
      <x:c r="G210" s="10" t="str">
        <x:v>Live - tagged fixture</x:v>
      </x:c>
      <x:c r="H210" s="10" t="str">
        <x:v>Record deployed build. Use assigned test accounts, synthetic data and approved fixtures/recipients only.</x:v>
      </x:c>
      <x:c r="I210" s="10" t="str">
        <x:v>Upload synthetic supported PDF to QA record, preview and publish.</x:v>
      </x:c>
      <x:c r="J210" s="10" t="str">
        <x:v>Correct metadata/bytes and publication-aware access.</x:v>
      </x:c>
      <x:c r="K210" s="11" t="str"/>
      <x:c r="L210" s="11" t="str">
        <x:v>Not run</x:v>
      </x:c>
      <x:c r="M210" s="11" t="str"/>
      <x:c r="N210" s="11" t="str"/>
      <x:c r="O210" s="11" t="str"/>
      <x:c r="P210" s="11" t="str"/>
      <x:c r="Q210" s="11" t="str"/>
      <x:c r="R210" s="11" t="str"/>
      <x:c r="S210" s="10" t="str">
        <x:v>Browser + API + database</x:v>
      </x:c>
      <x:c r="T210" s="10" t="str">
        <x:v>Approved testing plan</x:v>
      </x:c>
      <x:c r="U210" s="10" t="str">
        <x:v>Reconcile tagged fixtures; archive/withdraw only owned test publications. Preserve audit/financial history.</x:v>
      </x:c>
      <x:c r="V210" s="12" t="str">
        <x:f>IF(A210="","",IF(L210="Not run","Pending",IF(OR(L210="Blocked",L210="Not deployed",L210="Not applicable"),IF(OR(K210="",R210=""),"Needs explanation","Recorded"),IF(OR(L210="Pass",L210="Fail"),IF(OR(K210="",M210="",P210=""),"Needs result/evidence/build","Recorded"),"Needs valid status"))))</x:f>
        <x:v>Pending</x:v>
      </x:c>
    </x:row>
    <x:row r="211" ht="38" customHeight="1">
      <x:c r="A211" s="10" t="str">
        <x:v>QA-0207</x:v>
      </x:c>
      <x:c r="B211" s="10" t="str">
        <x:v>M. CMS and settings</x:v>
      </x:c>
      <x:c r="C211" s="10" t="str">
        <x:v>Download replacement</x:v>
      </x:c>
      <x:c r="D211" s="10" t="str">
        <x:v>/admin/workspaces/content /admin/workspaces/website</x:v>
      </x:c>
      <x:c r="E211" s="10" t="str">
        <x:v>content_editor / administrator</x:v>
      </x:c>
      <x:c r="F211" s="10" t="str">
        <x:v>P1</x:v>
      </x:c>
      <x:c r="G211" s="10" t="str">
        <x:v>Live - tagged fixture</x:v>
      </x:c>
      <x:c r="H211" s="10" t="str">
        <x:v>Record deployed build. Use assigned test accounts, synthetic data and approved fixtures/recipients only.</x:v>
      </x:c>
      <x:c r="I211" s="10" t="str">
        <x:v>Replace QA PDF without publishing, then publish new version.</x:v>
      </x:c>
      <x:c r="J211" s="10" t="str">
        <x:v>Old public bytes remain until explicit publication; history/reference retained.</x:v>
      </x:c>
      <x:c r="K211" s="11" t="str"/>
      <x:c r="L211" s="11" t="str">
        <x:v>Not run</x:v>
      </x:c>
      <x:c r="M211" s="11" t="str"/>
      <x:c r="N211" s="11" t="str"/>
      <x:c r="O211" s="11" t="str"/>
      <x:c r="P211" s="11" t="str"/>
      <x:c r="Q211" s="11" t="str"/>
      <x:c r="R211" s="11" t="str"/>
      <x:c r="S211" s="10" t="str">
        <x:v>Browser + API + database</x:v>
      </x:c>
      <x:c r="T211" s="10" t="str">
        <x:v>Approved testing plan</x:v>
      </x:c>
      <x:c r="U211" s="10" t="str">
        <x:v>Reconcile tagged fixtures; archive/withdraw only owned test publications. Preserve audit/financial history.</x:v>
      </x:c>
      <x:c r="V211" s="12" t="str">
        <x:f>IF(A211="","",IF(L211="Not run","Pending",IF(OR(L211="Blocked",L211="Not deployed",L211="Not applicable"),IF(OR(K211="",R211=""),"Needs explanation","Recorded"),IF(OR(L211="Pass",L211="Fail"),IF(OR(K211="",M211="",P211=""),"Needs result/evidence/build","Recorded"),"Needs valid status"))))</x:f>
        <x:v>Pending</x:v>
      </x:c>
    </x:row>
    <x:row r="212" ht="38" customHeight="1">
      <x:c r="A212" s="10" t="str">
        <x:v>QA-0208</x:v>
      </x:c>
      <x:c r="B212" s="10" t="str">
        <x:v>M. CMS and settings</x:v>
      </x:c>
      <x:c r="C212" s="10" t="str">
        <x:v>Download validation</x:v>
      </x:c>
      <x:c r="D212" s="10" t="str">
        <x:v>/admin/workspaces/content /admin/workspaces/website</x:v>
      </x:c>
      <x:c r="E212" s="10" t="str">
        <x:v>content_editor / administrator</x:v>
      </x:c>
      <x:c r="F212" s="10" t="str">
        <x:v>P1</x:v>
      </x:c>
      <x:c r="G212" s="10" t="str">
        <x:v>Isolated only</x:v>
      </x:c>
      <x:c r="H212" s="10" t="str">
        <x:v>Record deployed build. Use assigned test accounts, synthetic data and approved fixtures/recipients only.</x:v>
      </x:c>
      <x:c r="I212" s="10" t="str">
        <x:v>Test empty, wrong type, renamed file and &gt;5MB in isolation.</x:v>
      </x:c>
      <x:c r="J212" s="10" t="str">
        <x:v>Invalid bytes/size rejected without broken public record.</x:v>
      </x:c>
      <x:c r="K212" s="11" t="str"/>
      <x:c r="L212" s="11" t="str">
        <x:v>Not run</x:v>
      </x:c>
      <x:c r="M212" s="11" t="str"/>
      <x:c r="N212" s="11" t="str"/>
      <x:c r="O212" s="11" t="str"/>
      <x:c r="P212" s="11" t="str"/>
      <x:c r="Q212" s="11" t="str"/>
      <x:c r="R212" s="11" t="str"/>
      <x:c r="S212" s="10" t="str">
        <x:v>Browser + API + database</x:v>
      </x:c>
      <x:c r="T212" s="10" t="str">
        <x:v>Approved testing plan</x:v>
      </x:c>
      <x:c r="U212" s="10" t="str">
        <x:v>Reconcile tagged fixtures; archive/withdraw only owned test publications. Preserve audit/financial history.</x:v>
      </x:c>
      <x:c r="V212" s="12" t="str">
        <x:f>IF(A212="","",IF(L212="Not run","Pending",IF(OR(L212="Blocked",L212="Not deployed",L212="Not applicable"),IF(OR(K212="",R212=""),"Needs explanation","Recorded"),IF(OR(L212="Pass",L212="Fail"),IF(OR(K212="",M212="",P212=""),"Needs result/evidence/build","Recorded"),"Needs valid status"))))</x:f>
        <x:v>Pending</x:v>
      </x:c>
    </x:row>
    <x:row r="213" ht="38" customHeight="1">
      <x:c r="A213" s="10" t="str">
        <x:v>QA-0209</x:v>
      </x:c>
      <x:c r="B213" s="10" t="str">
        <x:v>M. CMS and settings</x:v>
      </x:c>
      <x:c r="C213" s="10" t="str">
        <x:v>News source workflow</x:v>
      </x:c>
      <x:c r="D213" s="10" t="str">
        <x:v>/admin/workspaces/content /admin/workspaces/website</x:v>
      </x:c>
      <x:c r="E213" s="10" t="str">
        <x:v>content_editor / administrator</x:v>
      </x:c>
      <x:c r="F213" s="10" t="str">
        <x:v>P1</x:v>
      </x:c>
      <x:c r="G213" s="10" t="str">
        <x:v>Live - tagged fixture</x:v>
      </x:c>
      <x:c r="H213" s="10" t="str">
        <x:v>Record deployed build. Use assigned test accounts, synthetic data and approved fixtures/recipients only.</x:v>
      </x:c>
      <x:c r="I213" s="10" t="str">
        <x:v>Create QA source, approve as admin, edit, reapprove and pause.</x:v>
      </x:c>
      <x:c r="J213" s="10" t="str">
        <x:v>Correct version/history/roles; edit returns to draft; no automatic fetch/publish implied.</x:v>
      </x:c>
      <x:c r="K213" s="11" t="str"/>
      <x:c r="L213" s="11" t="str">
        <x:v>Not run</x:v>
      </x:c>
      <x:c r="M213" s="11" t="str"/>
      <x:c r="N213" s="11" t="str"/>
      <x:c r="O213" s="11" t="str"/>
      <x:c r="P213" s="11" t="str"/>
      <x:c r="Q213" s="11" t="str"/>
      <x:c r="R213" s="11" t="str"/>
      <x:c r="S213" s="10" t="str">
        <x:v>Browser + API + database</x:v>
      </x:c>
      <x:c r="T213" s="10" t="str">
        <x:v>Approved testing plan</x:v>
      </x:c>
      <x:c r="U213" s="10" t="str">
        <x:v>Reconcile tagged fixtures; archive/withdraw only owned test publications. Preserve audit/financial history.</x:v>
      </x:c>
      <x:c r="V213" s="12" t="str">
        <x:f>IF(A213="","",IF(L213="Not run","Pending",IF(OR(L213="Blocked",L213="Not deployed",L213="Not applicable"),IF(OR(K213="",R213=""),"Needs explanation","Recorded"),IF(OR(L213="Pass",L213="Fail"),IF(OR(K213="",M213="",P213=""),"Needs result/evidence/build","Recorded"),"Needs valid status"))))</x:f>
        <x:v>Pending</x:v>
      </x:c>
    </x:row>
    <x:row r="214" ht="38" customHeight="1">
      <x:c r="A214" s="10" t="str">
        <x:v>QA-0210</x:v>
      </x:c>
      <x:c r="B214" s="10" t="str">
        <x:v>M. CMS and settings</x:v>
      </x:c>
      <x:c r="C214" s="10" t="str">
        <x:v>Page fallback</x:v>
      </x:c>
      <x:c r="D214" s="10" t="str">
        <x:v>/admin/workspaces/content /admin/workspaces/website</x:v>
      </x:c>
      <x:c r="E214" s="10" t="str">
        <x:v>content_editor / administrator</x:v>
      </x:c>
      <x:c r="F214" s="10" t="str">
        <x:v>P1</x:v>
      </x:c>
      <x:c r="G214" s="10" t="str">
        <x:v>Isolated only</x:v>
      </x:c>
      <x:c r="H214" s="10" t="str">
        <x:v>Record deployed build. Use assigned test accounts, synthetic data and approved fixtures/recipients only.</x:v>
      </x:c>
      <x:c r="I214" s="10" t="str">
        <x:v>Withdraw QA page override in isolated clone and inspect route.</x:v>
      </x:c>
      <x:c r="J214" s="10" t="str">
        <x:v>Documented default fallback appears; article withdrawal remains inaccessible.</x:v>
      </x:c>
      <x:c r="K214" s="11" t="str"/>
      <x:c r="L214" s="11" t="str">
        <x:v>Not run</x:v>
      </x:c>
      <x:c r="M214" s="11" t="str"/>
      <x:c r="N214" s="11" t="str"/>
      <x:c r="O214" s="11" t="str"/>
      <x:c r="P214" s="11" t="str"/>
      <x:c r="Q214" s="11" t="str"/>
      <x:c r="R214" s="11" t="str"/>
      <x:c r="S214" s="10" t="str">
        <x:v>Browser + API + database</x:v>
      </x:c>
      <x:c r="T214" s="10" t="str">
        <x:v>Approved testing plan</x:v>
      </x:c>
      <x:c r="U214" s="10" t="str">
        <x:v>Reconcile tagged fixtures; archive/withdraw only owned test publications. Preserve audit/financial history.</x:v>
      </x:c>
      <x:c r="V214" s="12" t="str">
        <x:f>IF(A214="","",IF(L214="Not run","Pending",IF(OR(L214="Blocked",L214="Not deployed",L214="Not applicable"),IF(OR(K214="",R214=""),"Needs explanation","Recorded"),IF(OR(L214="Pass",L214="Fail"),IF(OR(K214="",M214="",P214=""),"Needs result/evidence/build","Recorded"),"Needs valid status"))))</x:f>
        <x:v>Pending</x:v>
      </x:c>
    </x:row>
    <x:row r="215" ht="38" customHeight="1">
      <x:c r="A215" s="10" t="str">
        <x:v>QA-0211</x:v>
      </x:c>
      <x:c r="B215" s="10" t="str">
        <x:v>N. People media flyers</x:v>
      </x:c>
      <x:c r="C215" s="10" t="str">
        <x:v>People and groups</x:v>
      </x:c>
      <x:c r="D215" s="10" t="str">
        <x:v>/admin/workspaces/governance /media /flyers</x:v>
      </x:c>
      <x:c r="E215" s="10" t="str">
        <x:v>content_editor / membership_reviewer / event_operator</x:v>
      </x:c>
      <x:c r="F215" s="10" t="str">
        <x:v>P1</x:v>
      </x:c>
      <x:c r="G215" s="10" t="str">
        <x:v>Live - tagged fixture</x:v>
      </x:c>
      <x:c r="H215" s="10" t="str">
        <x:v>Record deployed build. Use assigned test accounts, synthetic data and approved fixtures/recipients only.</x:v>
      </x:c>
      <x:c r="I215" s="10" t="str">
        <x:v>Create QA person/group/committee assignments with roles, term and ordering.</x:v>
      </x:c>
      <x:c r="J215" s="10" t="str">
        <x:v>Correct identities, hierarchy and intended public placement.</x:v>
      </x:c>
      <x:c r="K215" s="11" t="str"/>
      <x:c r="L215" s="11" t="str">
        <x:v>Not run</x:v>
      </x:c>
      <x:c r="M215" s="11" t="str"/>
      <x:c r="N215" s="11" t="str"/>
      <x:c r="O215" s="11" t="str"/>
      <x:c r="P215" s="11" t="str"/>
      <x:c r="Q215" s="11" t="str"/>
      <x:c r="R215" s="11" t="str"/>
      <x:c r="S215" s="10" t="str">
        <x:v>Browser + API + database</x:v>
      </x:c>
      <x:c r="T215" s="10" t="str">
        <x:v>Approved testing plan</x:v>
      </x:c>
      <x:c r="U215" s="10" t="str">
        <x:v>Reconcile tagged fixtures; archive/withdraw only owned test publications. Preserve audit/financial history.</x:v>
      </x:c>
      <x:c r="V215" s="12" t="str">
        <x:f>IF(A215="","",IF(L215="Not run","Pending",IF(OR(L215="Blocked",L215="Not deployed",L215="Not applicable"),IF(OR(K215="",R215=""),"Needs explanation","Recorded"),IF(OR(L215="Pass",L215="Fail"),IF(OR(K215="",M215="",P215=""),"Needs result/evidence/build","Recorded"),"Needs valid status"))))</x:f>
        <x:v>Pending</x:v>
      </x:c>
    </x:row>
    <x:row r="216" ht="38" customHeight="1">
      <x:c r="A216" s="10" t="str">
        <x:v>QA-0212</x:v>
      </x:c>
      <x:c r="B216" s="10" t="str">
        <x:v>N. People media flyers</x:v>
      </x:c>
      <x:c r="C216" s="10" t="str">
        <x:v>Profile proposal review</x:v>
      </x:c>
      <x:c r="D216" s="10" t="str">
        <x:v>/admin/workspaces/governance /media /flyers</x:v>
      </x:c>
      <x:c r="E216" s="10" t="str">
        <x:v>content_editor / membership_reviewer / event_operator</x:v>
      </x:c>
      <x:c r="F216" s="10" t="str">
        <x:v>P1</x:v>
      </x:c>
      <x:c r="G216" s="10" t="str">
        <x:v>Live - tagged fixture</x:v>
      </x:c>
      <x:c r="H216" s="10" t="str">
        <x:v>Record deployed build. Use assigned test accounts, synthetic data and approved fixtures/recipients only.</x:v>
      </x:c>
      <x:c r="I216" s="10" t="str">
        <x:v>Submit QA owner/staff proposal and inspect accepted/public snapshots.</x:v>
      </x:c>
      <x:c r="J216" s="10" t="str">
        <x:v>Proposal never bypasses review/publication.</x:v>
      </x:c>
      <x:c r="K216" s="11" t="str"/>
      <x:c r="L216" s="11" t="str">
        <x:v>Not run</x:v>
      </x:c>
      <x:c r="M216" s="11" t="str"/>
      <x:c r="N216" s="11" t="str"/>
      <x:c r="O216" s="11" t="str"/>
      <x:c r="P216" s="11" t="str"/>
      <x:c r="Q216" s="11" t="str"/>
      <x:c r="R216" s="11" t="str"/>
      <x:c r="S216" s="10" t="str">
        <x:v>Browser + API + database</x:v>
      </x:c>
      <x:c r="T216" s="10" t="str">
        <x:v>Approved testing plan</x:v>
      </x:c>
      <x:c r="U216" s="10" t="str">
        <x:v>Reconcile tagged fixtures; archive/withdraw only owned test publications. Preserve audit/financial history.</x:v>
      </x:c>
      <x:c r="V216" s="12" t="str">
        <x:f>IF(A216="","",IF(L216="Not run","Pending",IF(OR(L216="Blocked",L216="Not deployed",L216="Not applicable"),IF(OR(K216="",R216=""),"Needs explanation","Recorded"),IF(OR(L216="Pass",L216="Fail"),IF(OR(K216="",M216="",P216=""),"Needs result/evidence/build","Recorded"),"Needs valid status"))))</x:f>
        <x:v>Pending</x:v>
      </x:c>
    </x:row>
    <x:row r="217" ht="38" customHeight="1">
      <x:c r="A217" s="10" t="str">
        <x:v>QA-0213</x:v>
      </x:c>
      <x:c r="B217" s="10" t="str">
        <x:v>N. People media flyers</x:v>
      </x:c>
      <x:c r="C217" s="10" t="str">
        <x:v>Person publish withdraw</x:v>
      </x:c>
      <x:c r="D217" s="10" t="str">
        <x:v>/admin/workspaces/governance /media /flyers</x:v>
      </x:c>
      <x:c r="E217" s="10" t="str">
        <x:v>content_editor / membership_reviewer / event_operator</x:v>
      </x:c>
      <x:c r="F217" s="10" t="str">
        <x:v>P1</x:v>
      </x:c>
      <x:c r="G217" s="10" t="str">
        <x:v>Live - tagged fixture</x:v>
      </x:c>
      <x:c r="H217" s="10" t="str">
        <x:v>Record deployed build. Use assigned test accounts, synthetic data and approved fixtures/recipients only.</x:v>
      </x:c>
      <x:c r="I217" s="10" t="str">
        <x:v>Publish then withdraw QA profile.</x:v>
      </x:c>
      <x:c r="J217" s="10" t="str">
        <x:v>Intended public appearance/removal; retained Person/account/membership/history.</x:v>
      </x:c>
      <x:c r="K217" s="11" t="str"/>
      <x:c r="L217" s="11" t="str">
        <x:v>Not run</x:v>
      </x:c>
      <x:c r="M217" s="11" t="str"/>
      <x:c r="N217" s="11" t="str"/>
      <x:c r="O217" s="11" t="str"/>
      <x:c r="P217" s="11" t="str"/>
      <x:c r="Q217" s="11" t="str"/>
      <x:c r="R217" s="11" t="str"/>
      <x:c r="S217" s="10" t="str">
        <x:v>Browser + API + database</x:v>
      </x:c>
      <x:c r="T217" s="10" t="str">
        <x:v>Approved testing plan</x:v>
      </x:c>
      <x:c r="U217" s="10" t="str">
        <x:v>Reconcile tagged fixtures; archive/withdraw only owned test publications. Preserve audit/financial history.</x:v>
      </x:c>
      <x:c r="V217" s="12" t="str">
        <x:f>IF(A217="","",IF(L217="Not run","Pending",IF(OR(L217="Blocked",L217="Not deployed",L217="Not applicable"),IF(OR(K217="",R217=""),"Needs explanation","Recorded"),IF(OR(L217="Pass",L217="Fail"),IF(OR(K217="",M217="",P217=""),"Needs result/evidence/build","Recorded"),"Needs valid status"))))</x:f>
        <x:v>Pending</x:v>
      </x:c>
    </x:row>
    <x:row r="218" ht="38" customHeight="1">
      <x:c r="A218" s="10" t="str">
        <x:v>QA-0214</x:v>
      </x:c>
      <x:c r="B218" s="10" t="str">
        <x:v>N. People media flyers</x:v>
      </x:c>
      <x:c r="C218" s="10" t="str">
        <x:v>Person archive restore</x:v>
      </x:c>
      <x:c r="D218" s="10" t="str">
        <x:v>/admin/workspaces/governance /media /flyers</x:v>
      </x:c>
      <x:c r="E218" s="10" t="str">
        <x:v>content_editor / membership_reviewer / event_operator</x:v>
      </x:c>
      <x:c r="F218" s="10" t="str">
        <x:v>P1</x:v>
      </x:c>
      <x:c r="G218" s="10" t="str">
        <x:v>Live - tagged fixture</x:v>
      </x:c>
      <x:c r="H218" s="10" t="str">
        <x:v>Record deployed build. Use assigned test accounts, synthetic data and approved fixtures/recipients only.</x:v>
      </x:c>
      <x:c r="I218" s="10" t="str">
        <x:v>Archive and restore QA profile.</x:v>
      </x:c>
      <x:c r="J218" s="10" t="str">
        <x:v>Restore does not silently republish or remove linked records.</x:v>
      </x:c>
      <x:c r="K218" s="11" t="str"/>
      <x:c r="L218" s="11" t="str">
        <x:v>Not run</x:v>
      </x:c>
      <x:c r="M218" s="11" t="str"/>
      <x:c r="N218" s="11" t="str"/>
      <x:c r="O218" s="11" t="str"/>
      <x:c r="P218" s="11" t="str"/>
      <x:c r="Q218" s="11" t="str"/>
      <x:c r="R218" s="11" t="str"/>
      <x:c r="S218" s="10" t="str">
        <x:v>Browser + API + database</x:v>
      </x:c>
      <x:c r="T218" s="10" t="str">
        <x:v>Approved testing plan</x:v>
      </x:c>
      <x:c r="U218" s="10" t="str">
        <x:v>Reconcile tagged fixtures; archive/withdraw only owned test publications. Preserve audit/financial history.</x:v>
      </x:c>
      <x:c r="V218" s="12" t="str">
        <x:f>IF(A218="","",IF(L218="Not run","Pending",IF(OR(L218="Blocked",L218="Not deployed",L218="Not applicable"),IF(OR(K218="",R218=""),"Needs explanation","Recorded"),IF(OR(L218="Pass",L218="Fail"),IF(OR(K218="",M218="",P218=""),"Needs result/evidence/build","Recorded"),"Needs valid status"))))</x:f>
        <x:v>Pending</x:v>
      </x:c>
    </x:row>
    <x:row r="219" ht="38" customHeight="1">
      <x:c r="A219" s="10" t="str">
        <x:v>QA-0215</x:v>
      </x:c>
      <x:c r="B219" s="10" t="str">
        <x:v>N. People media flyers</x:v>
      </x:c>
      <x:c r="C219" s="10" t="str">
        <x:v>Editorial role distinction</x:v>
      </x:c>
      <x:c r="D219" s="10" t="str">
        <x:v>/admin/workspaces/governance /media /flyers</x:v>
      </x:c>
      <x:c r="E219" s="10" t="str">
        <x:v>content_editor / membership_reviewer / event_operator</x:v>
      </x:c>
      <x:c r="F219" s="10" t="str">
        <x:v>P1</x:v>
      </x:c>
      <x:c r="G219" s="10" t="str">
        <x:v>Live - tagged fixture</x:v>
      </x:c>
      <x:c r="H219" s="10" t="str">
        <x:v>Record deployed build. Use assigned test accounts, synthetic data and approved fixtures/recipients only.</x:v>
      </x:c>
      <x:c r="I219" s="10" t="str">
        <x:v>Give QA person a committee title without staff grant.</x:v>
      </x:c>
      <x:c r="J219" s="10" t="str">
        <x:v>No authentication permission is created.</x:v>
      </x:c>
      <x:c r="K219" s="11" t="str"/>
      <x:c r="L219" s="11" t="str">
        <x:v>Not run</x:v>
      </x:c>
      <x:c r="M219" s="11" t="str"/>
      <x:c r="N219" s="11" t="str"/>
      <x:c r="O219" s="11" t="str"/>
      <x:c r="P219" s="11" t="str"/>
      <x:c r="Q219" s="11" t="str"/>
      <x:c r="R219" s="11" t="str"/>
      <x:c r="S219" s="10" t="str">
        <x:v>Browser + API + database</x:v>
      </x:c>
      <x:c r="T219" s="10" t="str">
        <x:v>Approved testing plan</x:v>
      </x:c>
      <x:c r="U219" s="10" t="str">
        <x:v>Reconcile tagged fixtures; archive/withdraw only owned test publications. Preserve audit/financial history.</x:v>
      </x:c>
      <x:c r="V219" s="12" t="str">
        <x:f>IF(A219="","",IF(L219="Not run","Pending",IF(OR(L219="Blocked",L219="Not deployed",L219="Not applicable"),IF(OR(K219="",R219=""),"Needs explanation","Recorded"),IF(OR(L219="Pass",L219="Fail"),IF(OR(K219="",M219="",P219=""),"Needs result/evidence/build","Recorded"),"Needs valid status"))))</x:f>
        <x:v>Pending</x:v>
      </x:c>
    </x:row>
    <x:row r="220" ht="38" customHeight="1">
      <x:c r="A220" s="10" t="str">
        <x:v>QA-0216</x:v>
      </x:c>
      <x:c r="B220" s="10" t="str">
        <x:v>N. People media flyers</x:v>
      </x:c>
      <x:c r="C220" s="10" t="str">
        <x:v>Media upload metadata</x:v>
      </x:c>
      <x:c r="D220" s="10" t="str">
        <x:v>/admin/workspaces/governance /media /flyers</x:v>
      </x:c>
      <x:c r="E220" s="10" t="str">
        <x:v>content_editor / membership_reviewer / event_operator</x:v>
      </x:c>
      <x:c r="F220" s="10" t="str">
        <x:v>P1</x:v>
      </x:c>
      <x:c r="G220" s="10" t="str">
        <x:v>Live - tagged fixture</x:v>
      </x:c>
      <x:c r="H220" s="10" t="str">
        <x:v>Record deployed build. Use assigned test accounts, synthetic data and approved fixtures/recipients only.</x:v>
      </x:c>
      <x:c r="I220" s="10" t="str">
        <x:v>Upload supported synthetic editorial image with title, alt text and category.</x:v>
      </x:c>
      <x:c r="J220" s="10" t="str">
        <x:v>Correct stored bytes, descriptive metadata and preview.</x:v>
      </x:c>
      <x:c r="K220" s="11" t="str"/>
      <x:c r="L220" s="11" t="str">
        <x:v>Not run</x:v>
      </x:c>
      <x:c r="M220" s="11" t="str"/>
      <x:c r="N220" s="11" t="str"/>
      <x:c r="O220" s="11" t="str"/>
      <x:c r="P220" s="11" t="str"/>
      <x:c r="Q220" s="11" t="str"/>
      <x:c r="R220" s="11" t="str"/>
      <x:c r="S220" s="10" t="str">
        <x:v>Browser + API + database</x:v>
      </x:c>
      <x:c r="T220" s="10" t="str">
        <x:v>Approved testing plan</x:v>
      </x:c>
      <x:c r="U220" s="10" t="str">
        <x:v>Reconcile tagged fixtures; archive/withdraw only owned test publications. Preserve audit/financial history.</x:v>
      </x:c>
      <x:c r="V220" s="12" t="str">
        <x:f>IF(A220="","",IF(L220="Not run","Pending",IF(OR(L220="Blocked",L220="Not deployed",L220="Not applicable"),IF(OR(K220="",R220=""),"Needs explanation","Recorded"),IF(OR(L220="Pass",L220="Fail"),IF(OR(K220="",M220="",P220=""),"Needs result/evidence/build","Recorded"),"Needs valid status"))))</x:f>
        <x:v>Pending</x:v>
      </x:c>
    </x:row>
    <x:row r="221" ht="38" customHeight="1">
      <x:c r="A221" s="10" t="str">
        <x:v>QA-0217</x:v>
      </x:c>
      <x:c r="B221" s="10" t="str">
        <x:v>N. People media flyers</x:v>
      </x:c>
      <x:c r="C221" s="10" t="str">
        <x:v>Media placement order</x:v>
      </x:c>
      <x:c r="D221" s="10" t="str">
        <x:v>/admin/workspaces/governance /media /flyers</x:v>
      </x:c>
      <x:c r="E221" s="10" t="str">
        <x:v>content_editor / membership_reviewer / event_operator</x:v>
      </x:c>
      <x:c r="F221" s="10" t="str">
        <x:v>P1</x:v>
      </x:c>
      <x:c r="G221" s="10" t="str">
        <x:v>Live - tagged fixture</x:v>
      </x:c>
      <x:c r="H221" s="10" t="str">
        <x:v>Record deployed build. Use assigned test accounts, synthetic data and approved fixtures/recipients only.</x:v>
      </x:c>
      <x:c r="I221" s="10" t="str">
        <x:v>Select QA image placement/featured state/order and publish.</x:v>
      </x:c>
      <x:c r="J221" s="10" t="str">
        <x:v>Correct eligible public placement and order.</x:v>
      </x:c>
      <x:c r="K221" s="11" t="str"/>
      <x:c r="L221" s="11" t="str">
        <x:v>Not run</x:v>
      </x:c>
      <x:c r="M221" s="11" t="str"/>
      <x:c r="N221" s="11" t="str"/>
      <x:c r="O221" s="11" t="str"/>
      <x:c r="P221" s="11" t="str"/>
      <x:c r="Q221" s="11" t="str"/>
      <x:c r="R221" s="11" t="str"/>
      <x:c r="S221" s="10" t="str">
        <x:v>Browser + API + database</x:v>
      </x:c>
      <x:c r="T221" s="10" t="str">
        <x:v>Approved testing plan</x:v>
      </x:c>
      <x:c r="U221" s="10" t="str">
        <x:v>Reconcile tagged fixtures; archive/withdraw only owned test publications. Preserve audit/financial history.</x:v>
      </x:c>
      <x:c r="V221" s="12" t="str">
        <x:f>IF(A221="","",IF(L221="Not run","Pending",IF(OR(L221="Blocked",L221="Not deployed",L221="Not applicable"),IF(OR(K221="",R221=""),"Needs explanation","Recorded"),IF(OR(L221="Pass",L221="Fail"),IF(OR(K221="",M221="",P221=""),"Needs result/evidence/build","Recorded"),"Needs valid status"))))</x:f>
        <x:v>Pending</x:v>
      </x:c>
    </x:row>
    <x:row r="222" ht="38" customHeight="1">
      <x:c r="A222" s="10" t="str">
        <x:v>QA-0218</x:v>
      </x:c>
      <x:c r="B222" s="10" t="str">
        <x:v>N. People media flyers</x:v>
      </x:c>
      <x:c r="C222" s="10" t="str">
        <x:v>Media withdraw</x:v>
      </x:c>
      <x:c r="D222" s="10" t="str">
        <x:v>/admin/workspaces/governance /media /flyers</x:v>
      </x:c>
      <x:c r="E222" s="10" t="str">
        <x:v>content_editor / membership_reviewer / event_operator</x:v>
      </x:c>
      <x:c r="F222" s="10" t="str">
        <x:v>P1</x:v>
      </x:c>
      <x:c r="G222" s="10" t="str">
        <x:v>Live - tagged fixture</x:v>
      </x:c>
      <x:c r="H222" s="10" t="str">
        <x:v>Record deployed build. Use assigned test accounts, synthetic data and approved fixtures/recipients only.</x:v>
      </x:c>
      <x:c r="I222" s="10" t="str">
        <x:v>Withdraw QA editorial media used by a QA profile.</x:v>
      </x:c>
      <x:c r="J222" s="10" t="str">
        <x:v>Public rendering respects withdrawal; private/history references preserved.</x:v>
      </x:c>
      <x:c r="K222" s="11" t="str"/>
      <x:c r="L222" s="11" t="str">
        <x:v>Not run</x:v>
      </x:c>
      <x:c r="M222" s="11" t="str"/>
      <x:c r="N222" s="11" t="str"/>
      <x:c r="O222" s="11" t="str"/>
      <x:c r="P222" s="11" t="str"/>
      <x:c r="Q222" s="11" t="str"/>
      <x:c r="R222" s="11" t="str"/>
      <x:c r="S222" s="10" t="str">
        <x:v>Browser + API + database</x:v>
      </x:c>
      <x:c r="T222" s="10" t="str">
        <x:v>Approved testing plan</x:v>
      </x:c>
      <x:c r="U222" s="10" t="str">
        <x:v>Reconcile tagged fixtures; archive/withdraw only owned test publications. Preserve audit/financial history.</x:v>
      </x:c>
      <x:c r="V222" s="12" t="str">
        <x:f>IF(A222="","",IF(L222="Not run","Pending",IF(OR(L222="Blocked",L222="Not deployed",L222="Not applicable"),IF(OR(K222="",R222=""),"Needs explanation","Recorded"),IF(OR(L222="Pass",L222="Fail"),IF(OR(K222="",M222="",P222=""),"Needs result/evidence/build","Recorded"),"Needs valid status"))))</x:f>
        <x:v>Pending</x:v>
      </x:c>
    </x:row>
    <x:row r="223" ht="38" customHeight="1">
      <x:c r="A223" s="10" t="str">
        <x:v>QA-0219</x:v>
      </x:c>
      <x:c r="B223" s="10" t="str">
        <x:v>N. People media flyers</x:v>
      </x:c>
      <x:c r="C223" s="10" t="str">
        <x:v>Private asset separation</x:v>
      </x:c>
      <x:c r="D223" s="10" t="str">
        <x:v>/admin/workspaces/governance /media /flyers</x:v>
      </x:c>
      <x:c r="E223" s="10" t="str">
        <x:v>content_editor / membership_reviewer / event_operator</x:v>
      </x:c>
      <x:c r="F223" s="10" t="str">
        <x:v>P1</x:v>
      </x:c>
      <x:c r="G223" s="10" t="str">
        <x:v>Isolated only</x:v>
      </x:c>
      <x:c r="H223" s="10" t="str">
        <x:v>Record deployed build. Use assigned test accounts, synthetic data and approved fixtures/recipients only.</x:v>
      </x:c>
      <x:c r="I223" s="10" t="str">
        <x:v>Attempt attach owned private evidence as public editorial media in isolation.</x:v>
      </x:c>
      <x:c r="J223" s="10" t="str">
        <x:v>Rejected; no private bytes become publicly available.</x:v>
      </x:c>
      <x:c r="K223" s="11" t="str"/>
      <x:c r="L223" s="11" t="str">
        <x:v>Not run</x:v>
      </x:c>
      <x:c r="M223" s="11" t="str"/>
      <x:c r="N223" s="11" t="str"/>
      <x:c r="O223" s="11" t="str"/>
      <x:c r="P223" s="11" t="str"/>
      <x:c r="Q223" s="11" t="str"/>
      <x:c r="R223" s="11" t="str"/>
      <x:c r="S223" s="10" t="str">
        <x:v>Browser + API + database</x:v>
      </x:c>
      <x:c r="T223" s="10" t="str">
        <x:v>Approved testing plan</x:v>
      </x:c>
      <x:c r="U223" s="10" t="str">
        <x:v>Reconcile tagged fixtures; archive/withdraw only owned test publications. Preserve audit/financial history.</x:v>
      </x:c>
      <x:c r="V223" s="12" t="str">
        <x:f>IF(A223="","",IF(L223="Not run","Pending",IF(OR(L223="Blocked",L223="Not deployed",L223="Not applicable"),IF(OR(K223="",R223=""),"Needs explanation","Recorded"),IF(OR(L223="Pass",L223="Fail"),IF(OR(K223="",M223="",P223=""),"Needs result/evidence/build","Recorded"),"Needs valid status"))))</x:f>
        <x:v>Pending</x:v>
      </x:c>
    </x:row>
    <x:row r="224" ht="38" customHeight="1">
      <x:c r="A224" s="10" t="str">
        <x:v>QA-0220</x:v>
      </x:c>
      <x:c r="B224" s="10" t="str">
        <x:v>N. People media flyers</x:v>
      </x:c>
      <x:c r="C224" s="10" t="str">
        <x:v>Flyer canonical facts</x:v>
      </x:c>
      <x:c r="D224" s="10" t="str">
        <x:v>/admin/workspaces/governance /media /flyers</x:v>
      </x:c>
      <x:c r="E224" s="10" t="str">
        <x:v>content_editor / membership_reviewer / event_operator</x:v>
      </x:c>
      <x:c r="F224" s="10" t="str">
        <x:v>P1</x:v>
      </x:c>
      <x:c r="G224" s="10" t="str">
        <x:v>Live - tagged fixture</x:v>
      </x:c>
      <x:c r="H224" s="10" t="str">
        <x:v>Record deployed build. Use assigned test accounts, synthetic data and approved fixtures/recipients only.</x:v>
      </x:c>
      <x:c r="I224" s="10" t="str">
        <x:v>Create variant for QA free/paid events and change presentation controls.</x:v>
      </x:c>
      <x:c r="J224" s="10" t="str">
        <x:v>Event facts/speakers/fee/visibility remain canonical; variant only alters presentation.</x:v>
      </x:c>
      <x:c r="K224" s="11" t="str"/>
      <x:c r="L224" s="11" t="str">
        <x:v>Not run</x:v>
      </x:c>
      <x:c r="M224" s="11" t="str"/>
      <x:c r="N224" s="11" t="str"/>
      <x:c r="O224" s="11" t="str"/>
      <x:c r="P224" s="11" t="str"/>
      <x:c r="Q224" s="11" t="str"/>
      <x:c r="R224" s="11" t="str"/>
      <x:c r="S224" s="10" t="str">
        <x:v>Browser + API + database</x:v>
      </x:c>
      <x:c r="T224" s="10" t="str">
        <x:v>Approved testing plan</x:v>
      </x:c>
      <x:c r="U224" s="10" t="str">
        <x:v>Reconcile tagged fixtures; archive/withdraw only owned test publications. Preserve audit/financial history.</x:v>
      </x:c>
      <x:c r="V224" s="12" t="str">
        <x:f>IF(A224="","",IF(L224="Not run","Pending",IF(OR(L224="Blocked",L224="Not deployed",L224="Not applicable"),IF(OR(K224="",R224=""),"Needs explanation","Recorded"),IF(OR(L224="Pass",L224="Fail"),IF(OR(K224="",M224="",P224=""),"Needs result/evidence/build","Recorded"),"Needs valid status"))))</x:f>
        <x:v>Pending</x:v>
      </x:c>
    </x:row>
    <x:row r="225" ht="38" customHeight="1">
      <x:c r="A225" s="10" t="str">
        <x:v>QA-0221</x:v>
      </x:c>
      <x:c r="B225" s="10" t="str">
        <x:v>N. People media flyers</x:v>
      </x:c>
      <x:c r="C225" s="10" t="str">
        <x:v>Flyer PNG export</x:v>
      </x:c>
      <x:c r="D225" s="10" t="str">
        <x:v>/admin/workspaces/governance /media /flyers</x:v>
      </x:c>
      <x:c r="E225" s="10" t="str">
        <x:v>content_editor / membership_reviewer / event_operator</x:v>
      </x:c>
      <x:c r="F225" s="10" t="str">
        <x:v>P1</x:v>
      </x:c>
      <x:c r="G225" s="10" t="str">
        <x:v>Live - tagged fixture</x:v>
      </x:c>
      <x:c r="H225" s="10" t="str">
        <x:v>Record deployed build. Use assigned test accounts, synthetic data and approved fixtures/recipients only.</x:v>
      </x:c>
      <x:c r="I225" s="10" t="str">
        <x:v>Export QA flyer at supported speaker counts/long text.</x:v>
      </x:c>
      <x:c r="J225" s="10" t="str">
        <x:v>Readable image without clipping/overlap; correct facts.</x:v>
      </x:c>
      <x:c r="K225" s="11" t="str"/>
      <x:c r="L225" s="11" t="str">
        <x:v>Not run</x:v>
      </x:c>
      <x:c r="M225" s="11" t="str"/>
      <x:c r="N225" s="11" t="str"/>
      <x:c r="O225" s="11" t="str"/>
      <x:c r="P225" s="11" t="str"/>
      <x:c r="Q225" s="11" t="str"/>
      <x:c r="R225" s="11" t="str"/>
      <x:c r="S225" s="10" t="str">
        <x:v>Browser + API + database</x:v>
      </x:c>
      <x:c r="T225" s="10" t="str">
        <x:v>Approved testing plan</x:v>
      </x:c>
      <x:c r="U225" s="10" t="str">
        <x:v>Reconcile tagged fixtures; archive/withdraw only owned test publications. Preserve audit/financial history.</x:v>
      </x:c>
      <x:c r="V225" s="12" t="str">
        <x:f>IF(A225="","",IF(L225="Not run","Pending",IF(OR(L225="Blocked",L225="Not deployed",L225="Not applicable"),IF(OR(K225="",R225=""),"Needs explanation","Recorded"),IF(OR(L225="Pass",L225="Fail"),IF(OR(K225="",M225="",P225=""),"Needs result/evidence/build","Recorded"),"Needs valid status"))))</x:f>
        <x:v>Pending</x:v>
      </x:c>
    </x:row>
    <x:row r="226" ht="38" customHeight="1">
      <x:c r="A226" s="10" t="str">
        <x:v>QA-0222</x:v>
      </x:c>
      <x:c r="B226" s="10" t="str">
        <x:v>N. People media flyers</x:v>
      </x:c>
      <x:c r="C226" s="10" t="str">
        <x:v>Flyer PDF export</x:v>
      </x:c>
      <x:c r="D226" s="10" t="str">
        <x:v>/admin/workspaces/governance /media /flyers</x:v>
      </x:c>
      <x:c r="E226" s="10" t="str">
        <x:v>content_editor / membership_reviewer / event_operator</x:v>
      </x:c>
      <x:c r="F226" s="10" t="str">
        <x:v>P1</x:v>
      </x:c>
      <x:c r="G226" s="10" t="str">
        <x:v>Live - tagged fixture</x:v>
      </x:c>
      <x:c r="H226" s="10" t="str">
        <x:v>Record deployed build. Use assigned test accounts, synthetic data and approved fixtures/recipients only.</x:v>
      </x:c>
      <x:c r="I226" s="10" t="str">
        <x:v>Export same QA flyer and visually inspect all pages at normal zoom.</x:v>
      </x:c>
      <x:c r="J226" s="10" t="str">
        <x:v>Correct page geometry, readable text and no clipping.</x:v>
      </x:c>
      <x:c r="K226" s="11" t="str"/>
      <x:c r="L226" s="11" t="str">
        <x:v>Not run</x:v>
      </x:c>
      <x:c r="M226" s="11" t="str"/>
      <x:c r="N226" s="11" t="str"/>
      <x:c r="O226" s="11" t="str"/>
      <x:c r="P226" s="11" t="str"/>
      <x:c r="Q226" s="11" t="str"/>
      <x:c r="R226" s="11" t="str"/>
      <x:c r="S226" s="10" t="str">
        <x:v>Browser + API + database</x:v>
      </x:c>
      <x:c r="T226" s="10" t="str">
        <x:v>Approved testing plan</x:v>
      </x:c>
      <x:c r="U226" s="10" t="str">
        <x:v>Reconcile tagged fixtures; archive/withdraw only owned test publications. Preserve audit/financial history.</x:v>
      </x:c>
      <x:c r="V226" s="12" t="str">
        <x:f>IF(A226="","",IF(L226="Not run","Pending",IF(OR(L226="Blocked",L226="Not deployed",L226="Not applicable"),IF(OR(K226="",R226=""),"Needs explanation","Recorded"),IF(OR(L226="Pass",L226="Fail"),IF(OR(K226="",M226="",P226=""),"Needs result/evidence/build","Recorded"),"Needs valid status"))))</x:f>
        <x:v>Pending</x:v>
      </x:c>
    </x:row>
    <x:row r="227" ht="38" customHeight="1">
      <x:c r="A227" s="10" t="str">
        <x:v>QA-0223</x:v>
      </x:c>
      <x:c r="B227" s="10" t="str">
        <x:v>N. People media flyers</x:v>
      </x:c>
      <x:c r="C227" s="10" t="str">
        <x:v>QR scan</x:v>
      </x:c>
      <x:c r="D227" s="10" t="str">
        <x:v>/admin/workspaces/governance /media /flyers</x:v>
      </x:c>
      <x:c r="E227" s="10" t="str">
        <x:v>content_editor / membership_reviewer / event_operator</x:v>
      </x:c>
      <x:c r="F227" s="10" t="str">
        <x:v>P1</x:v>
      </x:c>
      <x:c r="G227" s="10" t="str">
        <x:v>Live - tagged fixture</x:v>
      </x:c>
      <x:c r="H227" s="10" t="str">
        <x:v>Record deployed build. Use assigned test accounts, synthetic data and approved fixtures/recipients only.</x:v>
      </x:c>
      <x:c r="I227" s="10" t="str">
        <x:v>Scan QA public and member flyer QR with physical phone.</x:v>
      </x:c>
      <x:c r="J227" s="10" t="str">
        <x:v>Correct event-specific destination and sign-in continuation.</x:v>
      </x:c>
      <x:c r="K227" s="11" t="str"/>
      <x:c r="L227" s="11" t="str">
        <x:v>Not run</x:v>
      </x:c>
      <x:c r="M227" s="11" t="str"/>
      <x:c r="N227" s="11" t="str"/>
      <x:c r="O227" s="11" t="str"/>
      <x:c r="P227" s="11" t="str"/>
      <x:c r="Q227" s="11" t="str"/>
      <x:c r="R227" s="11" t="str"/>
      <x:c r="S227" s="10" t="str">
        <x:v>Browser + API + database</x:v>
      </x:c>
      <x:c r="T227" s="10" t="str">
        <x:v>Approved testing plan</x:v>
      </x:c>
      <x:c r="U227" s="10" t="str">
        <x:v>Reconcile tagged fixtures; archive/withdraw only owned test publications. Preserve audit/financial history.</x:v>
      </x:c>
      <x:c r="V227" s="12" t="str">
        <x:f>IF(A227="","",IF(L227="Not run","Pending",IF(OR(L227="Blocked",L227="Not deployed",L227="Not applicable"),IF(OR(K227="",R227=""),"Needs explanation","Recorded"),IF(OR(L227="Pass",L227="Fail"),IF(OR(K227="",M227="",P227=""),"Needs result/evidence/build","Recorded"),"Needs valid status"))))</x:f>
        <x:v>Pending</x:v>
      </x:c>
    </x:row>
    <x:row r="228" ht="38" customHeight="1">
      <x:c r="A228" s="10" t="str">
        <x:v>QA-0224</x:v>
      </x:c>
      <x:c r="B228" s="10" t="str">
        <x:v>N. People media flyers</x:v>
      </x:c>
      <x:c r="C228" s="10" t="str">
        <x:v>Export freshness</x:v>
      </x:c>
      <x:c r="D228" s="10" t="str">
        <x:v>/admin/workspaces/governance /media /flyers</x:v>
      </x:c>
      <x:c r="E228" s="10" t="str">
        <x:v>content_editor / membership_reviewer / event_operator</x:v>
      </x:c>
      <x:c r="F228" s="10" t="str">
        <x:v>P1</x:v>
      </x:c>
      <x:c r="G228" s="10" t="str">
        <x:v>Live - tagged fixture</x:v>
      </x:c>
      <x:c r="H228" s="10" t="str">
        <x:v>Record deployed build. Use assigned test accounts, synthetic data and approved fixtures/recipients only.</x:v>
      </x:c>
      <x:c r="I228" s="10" t="str">
        <x:v>Edit relevant QA facts after export and inspect freshness/version messaging.</x:v>
      </x:c>
      <x:c r="J228" s="10" t="str">
        <x:v>Stale static export is not falsely presented as current.</x:v>
      </x:c>
      <x:c r="K228" s="11" t="str"/>
      <x:c r="L228" s="11" t="str">
        <x:v>Not run</x:v>
      </x:c>
      <x:c r="M228" s="11" t="str"/>
      <x:c r="N228" s="11" t="str"/>
      <x:c r="O228" s="11" t="str"/>
      <x:c r="P228" s="11" t="str"/>
      <x:c r="Q228" s="11" t="str"/>
      <x:c r="R228" s="11" t="str"/>
      <x:c r="S228" s="10" t="str">
        <x:v>Browser + API + database</x:v>
      </x:c>
      <x:c r="T228" s="10" t="str">
        <x:v>Approved testing plan</x:v>
      </x:c>
      <x:c r="U228" s="10" t="str">
        <x:v>Reconcile tagged fixtures; archive/withdraw only owned test publications. Preserve audit/financial history.</x:v>
      </x:c>
      <x:c r="V228" s="12" t="str">
        <x:f>IF(A228="","",IF(L228="Not run","Pending",IF(OR(L228="Blocked",L228="Not deployed",L228="Not applicable"),IF(OR(K228="",R228=""),"Needs explanation","Recorded"),IF(OR(L228="Pass",L228="Fail"),IF(OR(K228="",M228="",P228=""),"Needs result/evidence/build","Recorded"),"Needs valid status"))))</x:f>
        <x:v>Pending</x:v>
      </x:c>
    </x:row>
    <x:row r="229" ht="38" customHeight="1">
      <x:c r="A229" s="10" t="str">
        <x:v>QA-0225</x:v>
      </x:c>
      <x:c r="B229" s="10" t="str">
        <x:v>O. Reports and audit</x:v>
      </x:c>
      <x:c r="C229" s="10" t="str">
        <x:v>Permitted datasets</x:v>
      </x:c>
      <x:c r="D229" s="10" t="str">
        <x:v>/admin/workspaces/reports /api/staff/search /api/staff/audit</x:v>
      </x:c>
      <x:c r="E229" s="10" t="str">
        <x:v>Each staff role</x:v>
      </x:c>
      <x:c r="F229" s="10" t="str">
        <x:v>P1</x:v>
      </x:c>
      <x:c r="G229" s="10" t="str">
        <x:v>Live - tagged fixture</x:v>
      </x:c>
      <x:c r="H229" s="10" t="str">
        <x:v>Record deployed build. Use assigned test accounts, synthetic data and approved fixtures/recipients only.</x:v>
      </x:c>
      <x:c r="I229" s="10" t="str">
        <x:v>Open reports/catalog/search as each staff role.</x:v>
      </x:c>
      <x:c r="J229" s="10" t="str">
        <x:v>Only datasets/results permitted by current domain grants appear.</x:v>
      </x:c>
      <x:c r="K229" s="11" t="str"/>
      <x:c r="L229" s="11" t="str">
        <x:v>Not run</x:v>
      </x:c>
      <x:c r="M229" s="11" t="str"/>
      <x:c r="N229" s="11" t="str"/>
      <x:c r="O229" s="11" t="str"/>
      <x:c r="P229" s="11" t="str"/>
      <x:c r="Q229" s="11" t="str"/>
      <x:c r="R229" s="11" t="str"/>
      <x:c r="S229" s="10" t="str">
        <x:v>Browser + API + database</x:v>
      </x:c>
      <x:c r="T229" s="10" t="str">
        <x:v>Approved testing plan</x:v>
      </x:c>
      <x:c r="U229" s="10" t="str">
        <x:v>Reconcile tagged fixtures; archive/withdraw only owned test publications. Preserve audit/financial history.</x:v>
      </x:c>
      <x:c r="V229" s="12" t="str">
        <x:f>IF(A229="","",IF(L229="Not run","Pending",IF(OR(L229="Blocked",L229="Not deployed",L229="Not applicable"),IF(OR(K229="",R229=""),"Needs explanation","Recorded"),IF(OR(L229="Pass",L229="Fail"),IF(OR(K229="",M229="",P229=""),"Needs result/evidence/build","Recorded"),"Needs valid status"))))</x:f>
        <x:v>Pending</x:v>
      </x:c>
    </x:row>
    <x:row r="230" ht="38" customHeight="1">
      <x:c r="A230" s="10" t="str">
        <x:v>QA-0226</x:v>
      </x:c>
      <x:c r="B230" s="10" t="str">
        <x:v>O. Reports and audit</x:v>
      </x:c>
      <x:c r="C230" s="10" t="str">
        <x:v>Report reconciliation</x:v>
      </x:c>
      <x:c r="D230" s="10" t="str">
        <x:v>/admin/workspaces/reports /api/staff/search /api/staff/audit</x:v>
      </x:c>
      <x:c r="E230" s="10" t="str">
        <x:v>Each staff role</x:v>
      </x:c>
      <x:c r="F230" s="10" t="str">
        <x:v>P1</x:v>
      </x:c>
      <x:c r="G230" s="10" t="str">
        <x:v>Live - tagged fixture</x:v>
      </x:c>
      <x:c r="H230" s="10" t="str">
        <x:v>Record deployed build. Use assigned test accounts, synthetic data and approved fixtures/recipients only.</x:v>
      </x:c>
      <x:c r="I230" s="10" t="str">
        <x:v>Compare filtered QA report rows/totals with directory and read-only database query.</x:v>
      </x:c>
      <x:c r="J230" s="10" t="str">
        <x:v>Same filters yield matching source records; accounts not mislabeled as memberships.</x:v>
      </x:c>
      <x:c r="K230" s="11" t="str"/>
      <x:c r="L230" s="11" t="str">
        <x:v>Not run</x:v>
      </x:c>
      <x:c r="M230" s="11" t="str"/>
      <x:c r="N230" s="11" t="str"/>
      <x:c r="O230" s="11" t="str"/>
      <x:c r="P230" s="11" t="str"/>
      <x:c r="Q230" s="11" t="str"/>
      <x:c r="R230" s="11" t="str"/>
      <x:c r="S230" s="10" t="str">
        <x:v>Browser + API + database</x:v>
      </x:c>
      <x:c r="T230" s="10" t="str">
        <x:v>Approved testing plan</x:v>
      </x:c>
      <x:c r="U230" s="10" t="str">
        <x:v>Reconcile tagged fixtures; archive/withdraw only owned test publications. Preserve audit/financial history.</x:v>
      </x:c>
      <x:c r="V230" s="12" t="str">
        <x:f>IF(A230="","",IF(L230="Not run","Pending",IF(OR(L230="Blocked",L230="Not deployed",L230="Not applicable"),IF(OR(K230="",R230=""),"Needs explanation","Recorded"),IF(OR(L230="Pass",L230="Fail"),IF(OR(K230="",M230="",P230=""),"Needs result/evidence/build","Recorded"),"Needs valid status"))))</x:f>
        <x:v>Pending</x:v>
      </x:c>
    </x:row>
    <x:row r="231" ht="38" customHeight="1">
      <x:c r="A231" s="10" t="str">
        <x:v>QA-0227</x:v>
      </x:c>
      <x:c r="B231" s="10" t="str">
        <x:v>O. Reports and audit</x:v>
      </x:c>
      <x:c r="C231" s="10" t="str">
        <x:v>Date boundaries</x:v>
      </x:c>
      <x:c r="D231" s="10" t="str">
        <x:v>/admin/workspaces/reports /api/staff/search /api/staff/audit</x:v>
      </x:c>
      <x:c r="E231" s="10" t="str">
        <x:v>Each staff role</x:v>
      </x:c>
      <x:c r="F231" s="10" t="str">
        <x:v>P1</x:v>
      </x:c>
      <x:c r="G231" s="10" t="str">
        <x:v>Isolated only</x:v>
      </x:c>
      <x:c r="H231" s="10" t="str">
        <x:v>Record deployed build. Use assigned test accounts, synthetic data and approved fixtures/recipients only.</x:v>
      </x:c>
      <x:c r="I231" s="10" t="str">
        <x:v>Test custom inclusive dates, month end, year end and April-March financial year in isolation.</x:v>
      </x:c>
      <x:c r="J231" s="10" t="str">
        <x:v>India-date bounds and UTC row timestamp labels are correct.</x:v>
      </x:c>
      <x:c r="K231" s="11" t="str"/>
      <x:c r="L231" s="11" t="str">
        <x:v>Not run</x:v>
      </x:c>
      <x:c r="M231" s="11" t="str"/>
      <x:c r="N231" s="11" t="str"/>
      <x:c r="O231" s="11" t="str"/>
      <x:c r="P231" s="11" t="str"/>
      <x:c r="Q231" s="11" t="str"/>
      <x:c r="R231" s="11" t="str"/>
      <x:c r="S231" s="10" t="str">
        <x:v>Browser + API + database</x:v>
      </x:c>
      <x:c r="T231" s="10" t="str">
        <x:v>Approved testing plan</x:v>
      </x:c>
      <x:c r="U231" s="10" t="str">
        <x:v>Reconcile tagged fixtures; archive/withdraw only owned test publications. Preserve audit/financial history.</x:v>
      </x:c>
      <x:c r="V231" s="12" t="str">
        <x:f>IF(A231="","",IF(L231="Not run","Pending",IF(OR(L231="Blocked",L231="Not deployed",L231="Not applicable"),IF(OR(K231="",R231=""),"Needs explanation","Recorded"),IF(OR(L231="Pass",L231="Fail"),IF(OR(K231="",M231="",P231=""),"Needs result/evidence/build","Recorded"),"Needs valid status"))))</x:f>
        <x:v>Pending</x:v>
      </x:c>
    </x:row>
    <x:row r="232" ht="38" customHeight="1">
      <x:c r="A232" s="10" t="str">
        <x:v>QA-0228</x:v>
      </x:c>
      <x:c r="B232" s="10" t="str">
        <x:v>O. Reports and audit</x:v>
      </x:c>
      <x:c r="C232" s="10" t="str">
        <x:v>CSV export</x:v>
      </x:c>
      <x:c r="D232" s="10" t="str">
        <x:v>/admin/workspaces/reports /api/staff/search /api/staff/audit</x:v>
      </x:c>
      <x:c r="E232" s="10" t="str">
        <x:v>Each staff role</x:v>
      </x:c>
      <x:c r="F232" s="10" t="str">
        <x:v>P1</x:v>
      </x:c>
      <x:c r="G232" s="10" t="str">
        <x:v>Live - tagged fixture</x:v>
      </x:c>
      <x:c r="H232" s="10" t="str">
        <x:v>Record deployed build. Use assigned test accounts, synthetic data and approved fixtures/recipients only.</x:v>
      </x:c>
      <x:c r="I232" s="10" t="str">
        <x:v>Download QA filtered CSV and inspect columns/counts/quotes/Unicode.</x:v>
      </x:c>
      <x:c r="J232" s="10" t="str">
        <x:v>Exact intended rows and safe types/escaping; no private caching.</x:v>
      </x:c>
      <x:c r="K232" s="11" t="str"/>
      <x:c r="L232" s="11" t="str">
        <x:v>Not run</x:v>
      </x:c>
      <x:c r="M232" s="11" t="str"/>
      <x:c r="N232" s="11" t="str"/>
      <x:c r="O232" s="11" t="str"/>
      <x:c r="P232" s="11" t="str"/>
      <x:c r="Q232" s="11" t="str"/>
      <x:c r="R232" s="11" t="str"/>
      <x:c r="S232" s="10" t="str">
        <x:v>Browser + API + database</x:v>
      </x:c>
      <x:c r="T232" s="10" t="str">
        <x:v>Approved testing plan</x:v>
      </x:c>
      <x:c r="U232" s="10" t="str">
        <x:v>Reconcile tagged fixtures; archive/withdraw only owned test publications. Preserve audit/financial history.</x:v>
      </x:c>
      <x:c r="V232" s="12" t="str">
        <x:f>IF(A232="","",IF(L232="Not run","Pending",IF(OR(L232="Blocked",L232="Not deployed",L232="Not applicable"),IF(OR(K232="",R232=""),"Needs explanation","Recorded"),IF(OR(L232="Pass",L232="Fail"),IF(OR(K232="",M232="",P232=""),"Needs result/evidence/build","Recorded"),"Needs valid status"))))</x:f>
        <x:v>Pending</x:v>
      </x:c>
    </x:row>
    <x:row r="233" ht="38" customHeight="1">
      <x:c r="A233" s="10" t="str">
        <x:v>QA-0229</x:v>
      </x:c>
      <x:c r="B233" s="10" t="str">
        <x:v>O. Reports and audit</x:v>
      </x:c>
      <x:c r="C233" s="10" t="str">
        <x:v>XLSX export</x:v>
      </x:c>
      <x:c r="D233" s="10" t="str">
        <x:v>/admin/workspaces/reports /api/staff/search /api/staff/audit</x:v>
      </x:c>
      <x:c r="E233" s="10" t="str">
        <x:v>Each staff role</x:v>
      </x:c>
      <x:c r="F233" s="10" t="str">
        <x:v>P1</x:v>
      </x:c>
      <x:c r="G233" s="10" t="str">
        <x:v>Live - tagged fixture</x:v>
      </x:c>
      <x:c r="H233" s="10" t="str">
        <x:v>Record deployed build. Use assigned test accounts, synthetic data and approved fixtures/recipients only.</x:v>
      </x:c>
      <x:c r="I233" s="10" t="str">
        <x:v>Download same QA XLSX and compare parsed rows/types/headers/metadata.</x:v>
      </x:c>
      <x:c r="J233" s="10" t="str">
        <x:v>Numeric/boolean types preserved; filters/frozen header and counts correct.</x:v>
      </x:c>
      <x:c r="K233" s="11" t="str"/>
      <x:c r="L233" s="11" t="str">
        <x:v>Not run</x:v>
      </x:c>
      <x:c r="M233" s="11" t="str"/>
      <x:c r="N233" s="11" t="str"/>
      <x:c r="O233" s="11" t="str"/>
      <x:c r="P233" s="11" t="str"/>
      <x:c r="Q233" s="11" t="str"/>
      <x:c r="R233" s="11" t="str"/>
      <x:c r="S233" s="10" t="str">
        <x:v>Browser + API + database</x:v>
      </x:c>
      <x:c r="T233" s="10" t="str">
        <x:v>Approved testing plan</x:v>
      </x:c>
      <x:c r="U233" s="10" t="str">
        <x:v>Reconcile tagged fixtures; archive/withdraw only owned test publications. Preserve audit/financial history.</x:v>
      </x:c>
      <x:c r="V233" s="12" t="str">
        <x:f>IF(A233="","",IF(L233="Not run","Pending",IF(OR(L233="Blocked",L233="Not deployed",L233="Not applicable"),IF(OR(K233="",R233=""),"Needs explanation","Recorded"),IF(OR(L233="Pass",L233="Fail"),IF(OR(K233="",M233="",P233=""),"Needs result/evidence/build","Recorded"),"Needs valid status"))))</x:f>
        <x:v>Pending</x:v>
      </x:c>
    </x:row>
    <x:row r="234" ht="38" customHeight="1">
      <x:c r="A234" s="10" t="str">
        <x:v>QA-0230</x:v>
      </x:c>
      <x:c r="B234" s="10" t="str">
        <x:v>O. Reports and audit</x:v>
      </x:c>
      <x:c r="C234" s="10" t="str">
        <x:v>Empty export</x:v>
      </x:c>
      <x:c r="D234" s="10" t="str">
        <x:v>/admin/workspaces/reports /api/staff/search /api/staff/audit</x:v>
      </x:c>
      <x:c r="E234" s="10" t="str">
        <x:v>Each staff role</x:v>
      </x:c>
      <x:c r="F234" s="10" t="str">
        <x:v>P1</x:v>
      </x:c>
      <x:c r="G234" s="10" t="str">
        <x:v>Live - tagged fixture</x:v>
      </x:c>
      <x:c r="H234" s="10" t="str">
        <x:v>Record deployed build. Use assigned test accounts, synthetic data and approved fixtures/recipients only.</x:v>
      </x:c>
      <x:c r="I234" s="10" t="str">
        <x:v>Export a filter with zero QA matches.</x:v>
      </x:c>
      <x:c r="J234" s="10" t="str">
        <x:v>Headers/metadata remain, with no fabricated data.</x:v>
      </x:c>
      <x:c r="K234" s="11" t="str"/>
      <x:c r="L234" s="11" t="str">
        <x:v>Not run</x:v>
      </x:c>
      <x:c r="M234" s="11" t="str"/>
      <x:c r="N234" s="11" t="str"/>
      <x:c r="O234" s="11" t="str"/>
      <x:c r="P234" s="11" t="str"/>
      <x:c r="Q234" s="11" t="str"/>
      <x:c r="R234" s="11" t="str"/>
      <x:c r="S234" s="10" t="str">
        <x:v>Browser + API + database</x:v>
      </x:c>
      <x:c r="T234" s="10" t="str">
        <x:v>Approved testing plan</x:v>
      </x:c>
      <x:c r="U234" s="10" t="str">
        <x:v>Reconcile tagged fixtures; archive/withdraw only owned test publications. Preserve audit/financial history.</x:v>
      </x:c>
      <x:c r="V234" s="12" t="str">
        <x:f>IF(A234="","",IF(L234="Not run","Pending",IF(OR(L234="Blocked",L234="Not deployed",L234="Not applicable"),IF(OR(K234="",R234=""),"Needs explanation","Recorded"),IF(OR(L234="Pass",L234="Fail"),IF(OR(K234="",M234="",P234=""),"Needs result/evidence/build","Recorded"),"Needs valid status"))))</x:f>
        <x:v>Pending</x:v>
      </x:c>
    </x:row>
    <x:row r="235" ht="38" customHeight="1">
      <x:c r="A235" s="10" t="str">
        <x:v>QA-0231</x:v>
      </x:c>
      <x:c r="B235" s="10" t="str">
        <x:v>O. Reports and audit</x:v>
      </x:c>
      <x:c r="C235" s="10" t="str">
        <x:v>Preview and export limits</x:v>
      </x:c>
      <x:c r="D235" s="10" t="str">
        <x:v>/admin/workspaces/reports /api/staff/search /api/staff/audit</x:v>
      </x:c>
      <x:c r="E235" s="10" t="str">
        <x:v>Each staff role</x:v>
      </x:c>
      <x:c r="F235" s="10" t="str">
        <x:v>P1</x:v>
      </x:c>
      <x:c r="G235" s="10" t="str">
        <x:v>Isolated only</x:v>
      </x:c>
      <x:c r="H235" s="10" t="str">
        <x:v>Record deployed build. Use assigned test accounts, synthetic data and approved fixtures/recipients only.</x:v>
      </x:c>
      <x:c r="I235" s="10" t="str">
        <x:v>Use isolated fixtures above preview limit and export maximum.</x:v>
      </x:c>
      <x:c r="J235" s="10" t="str">
        <x:v>Preview explicitly limited; &gt;10000 export rejected without silent truncation.</x:v>
      </x:c>
      <x:c r="K235" s="11" t="str"/>
      <x:c r="L235" s="11" t="str">
        <x:v>Not run</x:v>
      </x:c>
      <x:c r="M235" s="11" t="str"/>
      <x:c r="N235" s="11" t="str"/>
      <x:c r="O235" s="11" t="str"/>
      <x:c r="P235" s="11" t="str"/>
      <x:c r="Q235" s="11" t="str"/>
      <x:c r="R235" s="11" t="str"/>
      <x:c r="S235" s="10" t="str">
        <x:v>Browser + API + database</x:v>
      </x:c>
      <x:c r="T235" s="10" t="str">
        <x:v>Approved testing plan</x:v>
      </x:c>
      <x:c r="U235" s="10" t="str">
        <x:v>Reconcile tagged fixtures; archive/withdraw only owned test publications. Preserve audit/financial history.</x:v>
      </x:c>
      <x:c r="V235" s="12" t="str">
        <x:f>IF(A235="","",IF(L235="Not run","Pending",IF(OR(L235="Blocked",L235="Not deployed",L235="Not applicable"),IF(OR(K235="",R235=""),"Needs explanation","Recorded"),IF(OR(L235="Pass",L235="Fail"),IF(OR(K235="",M235="",P235=""),"Needs result/evidence/build","Recorded"),"Needs valid status"))))</x:f>
        <x:v>Pending</x:v>
      </x:c>
    </x:row>
    <x:row r="236" ht="38" customHeight="1">
      <x:c r="A236" s="10" t="str">
        <x:v>QA-0232</x:v>
      </x:c>
      <x:c r="B236" s="10" t="str">
        <x:v>O. Reports and audit</x:v>
      </x:c>
      <x:c r="C236" s="10" t="str">
        <x:v>Formula-like export text</x:v>
      </x:c>
      <x:c r="D236" s="10" t="str">
        <x:v>/admin/workspaces/reports /api/staff/search /api/staff/audit</x:v>
      </x:c>
      <x:c r="E236" s="10" t="str">
        <x:v>Each staff role</x:v>
      </x:c>
      <x:c r="F236" s="10" t="str">
        <x:v>P1</x:v>
      </x:c>
      <x:c r="G236" s="10" t="str">
        <x:v>Isolated only</x:v>
      </x:c>
      <x:c r="H236" s="10" t="str">
        <x:v>Record deployed build. Use assigned test accounts, synthetic data and approved fixtures/recipients only.</x:v>
      </x:c>
      <x:c r="I236" s="10" t="str">
        <x:v>Export isolated values beginning =,+,-,@ in CSV/XLSX.</x:v>
      </x:c>
      <x:c r="J236" s="10" t="str">
        <x:v>Text remains non-executable; no spreadsheet formula injection.</x:v>
      </x:c>
      <x:c r="K236" s="11" t="str"/>
      <x:c r="L236" s="11" t="str">
        <x:v>Not run</x:v>
      </x:c>
      <x:c r="M236" s="11" t="str"/>
      <x:c r="N236" s="11" t="str"/>
      <x:c r="O236" s="11" t="str"/>
      <x:c r="P236" s="11" t="str"/>
      <x:c r="Q236" s="11" t="str"/>
      <x:c r="R236" s="11" t="str"/>
      <x:c r="S236" s="10" t="str">
        <x:v>Browser + API + database</x:v>
      </x:c>
      <x:c r="T236" s="10" t="str">
        <x:v>Approved testing plan</x:v>
      </x:c>
      <x:c r="U236" s="10" t="str">
        <x:v>Reconcile tagged fixtures; archive/withdraw only owned test publications. Preserve audit/financial history.</x:v>
      </x:c>
      <x:c r="V236" s="12" t="str">
        <x:f>IF(A236="","",IF(L236="Not run","Pending",IF(OR(L236="Blocked",L236="Not deployed",L236="Not applicable"),IF(OR(K236="",R236=""),"Needs explanation","Recorded"),IF(OR(L236="Pass",L236="Fail"),IF(OR(K236="",M236="",P236=""),"Needs result/evidence/build","Recorded"),"Needs valid status"))))</x:f>
        <x:v>Pending</x:v>
      </x:c>
    </x:row>
    <x:row r="237" ht="38" customHeight="1">
      <x:c r="A237" s="10" t="str">
        <x:v>QA-0233</x:v>
      </x:c>
      <x:c r="B237" s="10" t="str">
        <x:v>O. Reports and audit</x:v>
      </x:c>
      <x:c r="C237" s="10" t="str">
        <x:v>Private preset ownership</x:v>
      </x:c>
      <x:c r="D237" s="10" t="str">
        <x:v>/admin/workspaces/reports /api/staff/search /api/staff/audit</x:v>
      </x:c>
      <x:c r="E237" s="10" t="str">
        <x:v>Each staff role</x:v>
      </x:c>
      <x:c r="F237" s="10" t="str">
        <x:v>P1</x:v>
      </x:c>
      <x:c r="G237" s="10" t="str">
        <x:v>Live - tagged fixture</x:v>
      </x:c>
      <x:c r="H237" s="10" t="str">
        <x:v>Record deployed build. Use assigned test accounts, synthetic data and approved fixtures/recipients only.</x:v>
      </x:c>
      <x:c r="I237" s="10" t="str">
        <x:v>Save/apply/edit/delete QA private preset using owner and another account.</x:v>
      </x:c>
      <x:c r="J237" s="10" t="str">
        <x:v>Only owner manages it, including against another administrator.</x:v>
      </x:c>
      <x:c r="K237" s="11" t="str"/>
      <x:c r="L237" s="11" t="str">
        <x:v>Not run</x:v>
      </x:c>
      <x:c r="M237" s="11" t="str"/>
      <x:c r="N237" s="11" t="str"/>
      <x:c r="O237" s="11" t="str"/>
      <x:c r="P237" s="11" t="str"/>
      <x:c r="Q237" s="11" t="str"/>
      <x:c r="R237" s="11" t="str"/>
      <x:c r="S237" s="10" t="str">
        <x:v>Browser + API + database</x:v>
      </x:c>
      <x:c r="T237" s="10" t="str">
        <x:v>Approved testing plan</x:v>
      </x:c>
      <x:c r="U237" s="10" t="str">
        <x:v>Reconcile tagged fixtures; archive/withdraw only owned test publications. Preserve audit/financial history.</x:v>
      </x:c>
      <x:c r="V237" s="12" t="str">
        <x:f>IF(A237="","",IF(L237="Not run","Pending",IF(OR(L237="Blocked",L237="Not deployed",L237="Not applicable"),IF(OR(K237="",R237=""),"Needs explanation","Recorded"),IF(OR(L237="Pass",L237="Fail"),IF(OR(K237="",M237="",P237=""),"Needs result/evidence/build","Recorded"),"Needs valid status"))))</x:f>
        <x:v>Pending</x:v>
      </x:c>
    </x:row>
    <x:row r="238" ht="38" customHeight="1">
      <x:c r="A238" s="10" t="str">
        <x:v>QA-0234</x:v>
      </x:c>
      <x:c r="B238" s="10" t="str">
        <x:v>O. Reports and audit</x:v>
      </x:c>
      <x:c r="C238" s="10" t="str">
        <x:v>Shared preset</x:v>
      </x:c>
      <x:c r="D238" s="10" t="str">
        <x:v>/admin/workspaces/reports /api/staff/search /api/staff/audit</x:v>
      </x:c>
      <x:c r="E238" s="10" t="str">
        <x:v>Each staff role</x:v>
      </x:c>
      <x:c r="F238" s="10" t="str">
        <x:v>P1</x:v>
      </x:c>
      <x:c r="G238" s="10" t="str">
        <x:v>Live - tagged fixture</x:v>
      </x:c>
      <x:c r="H238" s="10" t="str">
        <x:v>Record deployed build. Use assigned test accounts, synthetic data and approved fixtures/recipients only.</x:v>
      </x:c>
      <x:c r="I238" s="10" t="str">
        <x:v>Admin creates/edits QA shared preset; other roles apply only allowed datasets.</x:v>
      </x:c>
      <x:c r="J238" s="10" t="str">
        <x:v>Shared management remains admin-only; permissions rechecked.</x:v>
      </x:c>
      <x:c r="K238" s="11" t="str"/>
      <x:c r="L238" s="11" t="str">
        <x:v>Not run</x:v>
      </x:c>
      <x:c r="M238" s="11" t="str"/>
      <x:c r="N238" s="11" t="str"/>
      <x:c r="O238" s="11" t="str"/>
      <x:c r="P238" s="11" t="str"/>
      <x:c r="Q238" s="11" t="str"/>
      <x:c r="R238" s="11" t="str"/>
      <x:c r="S238" s="10" t="str">
        <x:v>Browser + API + database</x:v>
      </x:c>
      <x:c r="T238" s="10" t="str">
        <x:v>Approved testing plan</x:v>
      </x:c>
      <x:c r="U238" s="10" t="str">
        <x:v>Reconcile tagged fixtures; archive/withdraw only owned test publications. Preserve audit/financial history.</x:v>
      </x:c>
      <x:c r="V238" s="12" t="str">
        <x:f>IF(A238="","",IF(L238="Not run","Pending",IF(OR(L238="Blocked",L238="Not deployed",L238="Not applicable"),IF(OR(K238="",R238=""),"Needs explanation","Recorded"),IF(OR(L238="Pass",L238="Fail"),IF(OR(K238="",M238="",P238=""),"Needs result/evidence/build","Recorded"),"Needs valid status"))))</x:f>
        <x:v>Pending</x:v>
      </x:c>
    </x:row>
    <x:row r="239" ht="38" customHeight="1">
      <x:c r="A239" s="10" t="str">
        <x:v>QA-0235</x:v>
      </x:c>
      <x:c r="B239" s="10" t="str">
        <x:v>O. Reports and audit</x:v>
      </x:c>
      <x:c r="C239" s="10" t="str">
        <x:v>Preset conflict and revocation</x:v>
      </x:c>
      <x:c r="D239" s="10" t="str">
        <x:v>/admin/workspaces/reports /api/staff/search /api/staff/audit</x:v>
      </x:c>
      <x:c r="E239" s="10" t="str">
        <x:v>Each staff role</x:v>
      </x:c>
      <x:c r="F239" s="10" t="str">
        <x:v>P1</x:v>
      </x:c>
      <x:c r="G239" s="10" t="str">
        <x:v>Live - tagged fixture</x:v>
      </x:c>
      <x:c r="H239" s="10" t="str">
        <x:v>Record deployed build. Use assigned test accounts, synthetic data and approved fixtures/recipients only.</x:v>
      </x:c>
      <x:c r="I239" s="10" t="str">
        <x:v>Change QA version/role before save/apply/export.</x:v>
      </x:c>
      <x:c r="J239" s="10" t="str">
        <x:v>Stale/unauthorized operation rejected.</x:v>
      </x:c>
      <x:c r="K239" s="11" t="str"/>
      <x:c r="L239" s="11" t="str">
        <x:v>Not run</x:v>
      </x:c>
      <x:c r="M239" s="11" t="str"/>
      <x:c r="N239" s="11" t="str"/>
      <x:c r="O239" s="11" t="str"/>
      <x:c r="P239" s="11" t="str"/>
      <x:c r="Q239" s="11" t="str"/>
      <x:c r="R239" s="11" t="str"/>
      <x:c r="S239" s="10" t="str">
        <x:v>Browser + API + database</x:v>
      </x:c>
      <x:c r="T239" s="10" t="str">
        <x:v>Approved testing plan</x:v>
      </x:c>
      <x:c r="U239" s="10" t="str">
        <x:v>Reconcile tagged fixtures; archive/withdraw only owned test publications. Preserve audit/financial history.</x:v>
      </x:c>
      <x:c r="V239" s="12" t="str">
        <x:f>IF(A239="","",IF(L239="Not run","Pending",IF(OR(L239="Blocked",L239="Not deployed",L239="Not applicable"),IF(OR(K239="",R239=""),"Needs explanation","Recorded"),IF(OR(L239="Pass",L239="Fail"),IF(OR(K239="",M239="",P239=""),"Needs result/evidence/build","Recorded"),"Needs valid status"))))</x:f>
        <x:v>Pending</x:v>
      </x:c>
    </x:row>
    <x:row r="240" ht="38" customHeight="1">
      <x:c r="A240" s="10" t="str">
        <x:v>QA-0236</x:v>
      </x:c>
      <x:c r="B240" s="10" t="str">
        <x:v>O. Reports and audit</x:v>
      </x:c>
      <x:c r="C240" s="10" t="str">
        <x:v>Audit accuracy</x:v>
      </x:c>
      <x:c r="D240" s="10" t="str">
        <x:v>/admin/workspaces/reports /api/staff/search /api/staff/audit</x:v>
      </x:c>
      <x:c r="E240" s="10" t="str">
        <x:v>Each staff role</x:v>
      </x:c>
      <x:c r="F240" s="10" t="str">
        <x:v>P1</x:v>
      </x:c>
      <x:c r="G240" s="10" t="str">
        <x:v>Live - tagged fixture</x:v>
      </x:c>
      <x:c r="H240" s="10" t="str">
        <x:v>Record deployed build. Use assigned test accounts, synthetic data and approved fixtures/recipients only.</x:v>
      </x:c>
      <x:c r="I240" s="10" t="str">
        <x:v>Inspect QA operation audits against UI/API actions.</x:v>
      </x:c>
      <x:c r="J240" s="10" t="str">
        <x:v>Actor/time/action/version correct; no secret bodies/tokens/private document contents.</x:v>
      </x:c>
      <x:c r="K240" s="11" t="str"/>
      <x:c r="L240" s="11" t="str">
        <x:v>Not run</x:v>
      </x:c>
      <x:c r="M240" s="11" t="str"/>
      <x:c r="N240" s="11" t="str"/>
      <x:c r="O240" s="11" t="str"/>
      <x:c r="P240" s="11" t="str"/>
      <x:c r="Q240" s="11" t="str"/>
      <x:c r="R240" s="11" t="str"/>
      <x:c r="S240" s="10" t="str">
        <x:v>Browser + API + database</x:v>
      </x:c>
      <x:c r="T240" s="10" t="str">
        <x:v>Approved testing plan</x:v>
      </x:c>
      <x:c r="U240" s="10" t="str">
        <x:v>Reconcile tagged fixtures; archive/withdraw only owned test publications. Preserve audit/financial history.</x:v>
      </x:c>
      <x:c r="V240" s="12" t="str">
        <x:f>IF(A240="","",IF(L240="Not run","Pending",IF(OR(L240="Blocked",L240="Not deployed",L240="Not applicable"),IF(OR(K240="",R240=""),"Needs explanation","Recorded"),IF(OR(L240="Pass",L240="Fail"),IF(OR(K240="",M240="",P240=""),"Needs result/evidence/build","Recorded"),"Needs valid status"))))</x:f>
        <x:v>Pending</x:v>
      </x:c>
    </x:row>
    <x:row r="241" ht="52" customHeight="1">
      <x:c r="A241" s="10" t="str">
        <x:v>QA-0237</x:v>
      </x:c>
      <x:c r="B241" s="10" t="str">
        <x:v>P. Security</x:v>
      </x:c>
      <x:c r="C241" s="10" t="str">
        <x:v>Six-role permission matrix</x:v>
      </x:c>
      <x:c r="D241" s="10" t="str">
        <x:v>Protected routes and APIs</x:v>
      </x:c>
      <x:c r="E241" s="10" t="str">
        <x:v>Technical tester</x:v>
      </x:c>
      <x:c r="F241" s="10" t="str">
        <x:v>P0</x:v>
      </x:c>
      <x:c r="G241" s="10" t="str">
        <x:v>Live - tagged fixture</x:v>
      </x:c>
      <x:c r="H241" s="10" t="str">
        <x:v>Record deployed build. Use assigned test accounts, synthetic data and approved fixtures/recipients only.</x:v>
      </x:c>
      <x:c r="I241" s="10" t="str">
        <x:v>Test all seven domain permissions against each single-role QA account using UI and direct API.</x:v>
      </x:c>
      <x:c r="J241" s="10" t="str">
        <x:v>Administrator all; reviewer members/documents; editor content; event operator events; communications operator communications; finance payments. Combined actions may require multiple grants.</x:v>
      </x:c>
      <x:c r="K241" s="11" t="str"/>
      <x:c r="L241" s="11" t="str">
        <x:v>Not run</x:v>
      </x:c>
      <x:c r="M241" s="11" t="str"/>
      <x:c r="N241" s="11" t="str"/>
      <x:c r="O241" s="11" t="str"/>
      <x:c r="P241" s="11" t="str"/>
      <x:c r="Q241" s="11" t="str"/>
      <x:c r="R241" s="11" t="str"/>
      <x:c r="S241" s="10" t="str">
        <x:v>Browser + API + database</x:v>
      </x:c>
      <x:c r="T241" s="10" t="str">
        <x:v>Approved testing plan</x:v>
      </x:c>
      <x:c r="U241" s="10" t="str">
        <x:v>Reconcile tagged fixtures; archive/withdraw only owned test publications. Preserve audit/financial history.</x:v>
      </x:c>
      <x:c r="V241" s="12" t="str">
        <x:f>IF(A241="","",IF(L241="Not run","Pending",IF(OR(L241="Blocked",L241="Not deployed",L241="Not applicable"),IF(OR(K241="",R241=""),"Needs explanation","Recorded"),IF(OR(L241="Pass",L241="Fail"),IF(OR(K241="",M241="",P241=""),"Needs result/evidence/build","Recorded"),"Needs valid status"))))</x:f>
        <x:v>Pending</x:v>
      </x:c>
    </x:row>
    <x:row r="242" ht="38" customHeight="1">
      <x:c r="A242" s="10" t="str">
        <x:v>QA-0238</x:v>
      </x:c>
      <x:c r="B242" s="10" t="str">
        <x:v>P. Security</x:v>
      </x:c>
      <x:c r="C242" s="10" t="str">
        <x:v>Role revocation</x:v>
      </x:c>
      <x:c r="D242" s="10" t="str">
        <x:v>Protected routes and APIs</x:v>
      </x:c>
      <x:c r="E242" s="10" t="str">
        <x:v>Technical tester</x:v>
      </x:c>
      <x:c r="F242" s="10" t="str">
        <x:v>P0</x:v>
      </x:c>
      <x:c r="G242" s="10" t="str">
        <x:v>Live - tagged fixture</x:v>
      </x:c>
      <x:c r="H242" s="10" t="str">
        <x:v>Record deployed build. Use assigned test accounts, synthetic data and approved fixtures/recipients only.</x:v>
      </x:c>
      <x:c r="I242" s="10" t="str">
        <x:v>Remove role only from owned QA staff session then retry stale UI/direct API.</x:v>
      </x:c>
      <x:c r="J242" s="10" t="str">
        <x:v>Server denies revoked action even if old navigation remains rendered.</x:v>
      </x:c>
      <x:c r="K242" s="11" t="str"/>
      <x:c r="L242" s="11" t="str">
        <x:v>Not run</x:v>
      </x:c>
      <x:c r="M242" s="11" t="str"/>
      <x:c r="N242" s="11" t="str"/>
      <x:c r="O242" s="11" t="str"/>
      <x:c r="P242" s="11" t="str"/>
      <x:c r="Q242" s="11" t="str"/>
      <x:c r="R242" s="11" t="str"/>
      <x:c r="S242" s="10" t="str">
        <x:v>Browser + API + database</x:v>
      </x:c>
      <x:c r="T242" s="10" t="str">
        <x:v>Approved testing plan</x:v>
      </x:c>
      <x:c r="U242" s="10" t="str">
        <x:v>Reconcile tagged fixtures; archive/withdraw only owned test publications. Preserve audit/financial history.</x:v>
      </x:c>
      <x:c r="V242" s="12" t="str">
        <x:f>IF(A242="","",IF(L242="Not run","Pending",IF(OR(L242="Blocked",L242="Not deployed",L242="Not applicable"),IF(OR(K242="",R242=""),"Needs explanation","Recorded"),IF(OR(L242="Pass",L242="Fail"),IF(OR(K242="",M242="",P242=""),"Needs result/evidence/build","Recorded"),"Needs valid status"))))</x:f>
        <x:v>Pending</x:v>
      </x:c>
    </x:row>
    <x:row r="243" ht="38" customHeight="1">
      <x:c r="A243" s="10" t="str">
        <x:v>QA-0239</x:v>
      </x:c>
      <x:c r="B243" s="10" t="str">
        <x:v>P. Security</x:v>
      </x:c>
      <x:c r="C243" s="10" t="str">
        <x:v>Owner authorization</x:v>
      </x:c>
      <x:c r="D243" s="10" t="str">
        <x:v>Protected routes and APIs</x:v>
      </x:c>
      <x:c r="E243" s="10" t="str">
        <x:v>Technical tester</x:v>
      </x:c>
      <x:c r="F243" s="10" t="str">
        <x:v>P0</x:v>
      </x:c>
      <x:c r="G243" s="10" t="str">
        <x:v>Live - tagged fixture</x:v>
      </x:c>
      <x:c r="H243" s="10" t="str">
        <x:v>Record deployed build. Use assigned test accounts, synthetic data and approved fixtures/recipients only.</x:v>
      </x:c>
      <x:c r="I243" s="10" t="str">
        <x:v>Swap A-owned fixture ID for B-owned ID on private record/file request.</x:v>
      </x:c>
      <x:c r="J243" s="10" t="str">
        <x:v>No cross-owner data or mutation.</x:v>
      </x:c>
      <x:c r="K243" s="11" t="str"/>
      <x:c r="L243" s="11" t="str">
        <x:v>Not run</x:v>
      </x:c>
      <x:c r="M243" s="11" t="str"/>
      <x:c r="N243" s="11" t="str"/>
      <x:c r="O243" s="11" t="str"/>
      <x:c r="P243" s="11" t="str"/>
      <x:c r="Q243" s="11" t="str"/>
      <x:c r="R243" s="11" t="str"/>
      <x:c r="S243" s="10" t="str">
        <x:v>Browser + API + database</x:v>
      </x:c>
      <x:c r="T243" s="10" t="str">
        <x:v>Approved testing plan</x:v>
      </x:c>
      <x:c r="U243" s="10" t="str">
        <x:v>Reconcile tagged fixtures; archive/withdraw only owned test publications. Preserve audit/financial history.</x:v>
      </x:c>
      <x:c r="V243" s="12" t="str">
        <x:f>IF(A243="","",IF(L243="Not run","Pending",IF(OR(L243="Blocked",L243="Not deployed",L243="Not applicable"),IF(OR(K243="",R243=""),"Needs explanation","Recorded"),IF(OR(L243="Pass",L243="Fail"),IF(OR(K243="",M243="",P243=""),"Needs result/evidence/build","Recorded"),"Needs valid status"))))</x:f>
        <x:v>Pending</x:v>
      </x:c>
    </x:row>
    <x:row r="244" ht="38" customHeight="1">
      <x:c r="A244" s="10" t="str">
        <x:v>QA-0240</x:v>
      </x:c>
      <x:c r="B244" s="10" t="str">
        <x:v>P. Security</x:v>
      </x:c>
      <x:c r="C244" s="10" t="str">
        <x:v>Origin enforcement</x:v>
      </x:c>
      <x:c r="D244" s="10" t="str">
        <x:v>Protected routes and APIs</x:v>
      </x:c>
      <x:c r="E244" s="10" t="str">
        <x:v>Technical tester</x:v>
      </x:c>
      <x:c r="F244" s="10" t="str">
        <x:v>P0</x:v>
      </x:c>
      <x:c r="G244" s="10" t="str">
        <x:v>Live - tagged fixture</x:v>
      </x:c>
      <x:c r="H244" s="10" t="str">
        <x:v>Record deployed build. Use assigned test accounts, synthetic data and approved fixtures/recipients only.</x:v>
      </x:c>
      <x:c r="I244" s="10" t="str">
        <x:v>Send isolated authenticated write with absent/foreign Origin per endpoint policy.</x:v>
      </x:c>
      <x:c r="J244" s="10" t="str">
        <x:v>Unauthorized cross-origin mutation rejected.</x:v>
      </x:c>
      <x:c r="K244" s="11" t="str"/>
      <x:c r="L244" s="11" t="str">
        <x:v>Not run</x:v>
      </x:c>
      <x:c r="M244" s="11" t="str"/>
      <x:c r="N244" s="11" t="str"/>
      <x:c r="O244" s="11" t="str"/>
      <x:c r="P244" s="11" t="str"/>
      <x:c r="Q244" s="11" t="str"/>
      <x:c r="R244" s="11" t="str"/>
      <x:c r="S244" s="10" t="str">
        <x:v>Browser + API + database</x:v>
      </x:c>
      <x:c r="T244" s="10" t="str">
        <x:v>Approved testing plan</x:v>
      </x:c>
      <x:c r="U244" s="10" t="str">
        <x:v>Reconcile tagged fixtures; archive/withdraw only owned test publications. Preserve audit/financial history.</x:v>
      </x:c>
      <x:c r="V244" s="12" t="str">
        <x:f>IF(A244="","",IF(L244="Not run","Pending",IF(OR(L244="Blocked",L244="Not deployed",L244="Not applicable"),IF(OR(K244="",R244=""),"Needs explanation","Recorded"),IF(OR(L244="Pass",L244="Fail"),IF(OR(K244="",M244="",P244=""),"Needs result/evidence/build","Recorded"),"Needs valid status"))))</x:f>
        <x:v>Pending</x:v>
      </x:c>
    </x:row>
    <x:row r="245" ht="38" customHeight="1">
      <x:c r="A245" s="10" t="str">
        <x:v>QA-0241</x:v>
      </x:c>
      <x:c r="B245" s="10" t="str">
        <x:v>P. Security</x:v>
      </x:c>
      <x:c r="C245" s="10" t="str">
        <x:v>Private response caching</x:v>
      </x:c>
      <x:c r="D245" s="10" t="str">
        <x:v>Protected routes and APIs</x:v>
      </x:c>
      <x:c r="E245" s="10" t="str">
        <x:v>Technical tester</x:v>
      </x:c>
      <x:c r="F245" s="10" t="str">
        <x:v>P0</x:v>
      </x:c>
      <x:c r="G245" s="10" t="str">
        <x:v>Live - tagged fixture</x:v>
      </x:c>
      <x:c r="H245" s="10" t="str">
        <x:v>Record deployed build. Use assigned test accounts, synthetic data and approved fixtures/recipients only.</x:v>
      </x:c>
      <x:c r="I245" s="10" t="str">
        <x:v>Inspect cache headers and shared browser behavior for private APIs/files.</x:v>
      </x:c>
      <x:c r="J245" s="10" t="str">
        <x:v>No public caching or token/private body leak.</x:v>
      </x:c>
      <x:c r="K245" s="11" t="str"/>
      <x:c r="L245" s="11" t="str">
        <x:v>Not run</x:v>
      </x:c>
      <x:c r="M245" s="11" t="str"/>
      <x:c r="N245" s="11" t="str"/>
      <x:c r="O245" s="11" t="str"/>
      <x:c r="P245" s="11" t="str"/>
      <x:c r="Q245" s="11" t="str"/>
      <x:c r="R245" s="11" t="str"/>
      <x:c r="S245" s="10" t="str">
        <x:v>Browser + API + database</x:v>
      </x:c>
      <x:c r="T245" s="10" t="str">
        <x:v>Approved testing plan</x:v>
      </x:c>
      <x:c r="U245" s="10" t="str">
        <x:v>Reconcile tagged fixtures; archive/withdraw only owned test publications. Preserve audit/financial history.</x:v>
      </x:c>
      <x:c r="V245" s="12" t="str">
        <x:f>IF(A245="","",IF(L245="Not run","Pending",IF(OR(L245="Blocked",L245="Not deployed",L245="Not applicable"),IF(OR(K245="",R245=""),"Needs explanation","Recorded"),IF(OR(L245="Pass",L245="Fail"),IF(OR(K245="",M245="",P245=""),"Needs result/evidence/build","Recorded"),"Needs valid status"))))</x:f>
        <x:v>Pending</x:v>
      </x:c>
    </x:row>
    <x:row r="246" ht="38" customHeight="1">
      <x:c r="A246" s="10" t="str">
        <x:v>QA-0242</x:v>
      </x:c>
      <x:c r="B246" s="10" t="str">
        <x:v>P. Security</x:v>
      </x:c>
      <x:c r="C246" s="10" t="str">
        <x:v>Signed file links</x:v>
      </x:c>
      <x:c r="D246" s="10" t="str">
        <x:v>Protected routes and APIs</x:v>
      </x:c>
      <x:c r="E246" s="10" t="str">
        <x:v>Technical tester</x:v>
      </x:c>
      <x:c r="F246" s="10" t="str">
        <x:v>P0</x:v>
      </x:c>
      <x:c r="G246" s="10" t="str">
        <x:v>Live - tagged fixture</x:v>
      </x:c>
      <x:c r="H246" s="10" t="str">
        <x:v>Record deployed build. Use assigned test accounts, synthetic data and approved fixtures/recipients only.</x:v>
      </x:c>
      <x:c r="I246" s="10" t="str">
        <x:v>Use valid QA signed download then expired/modified isolated link.</x:v>
      </x:c>
      <x:c r="J246" s="10" t="str">
        <x:v>Only authorized timely access succeeds; referrer protections preserved.</x:v>
      </x:c>
      <x:c r="K246" s="11" t="str"/>
      <x:c r="L246" s="11" t="str">
        <x:v>Not run</x:v>
      </x:c>
      <x:c r="M246" s="11" t="str"/>
      <x:c r="N246" s="11" t="str"/>
      <x:c r="O246" s="11" t="str"/>
      <x:c r="P246" s="11" t="str"/>
      <x:c r="Q246" s="11" t="str"/>
      <x:c r="R246" s="11" t="str"/>
      <x:c r="S246" s="10" t="str">
        <x:v>Browser + API + database</x:v>
      </x:c>
      <x:c r="T246" s="10" t="str">
        <x:v>Approved testing plan</x:v>
      </x:c>
      <x:c r="U246" s="10" t="str">
        <x:v>Reconcile tagged fixtures; archive/withdraw only owned test publications. Preserve audit/financial history.</x:v>
      </x:c>
      <x:c r="V246" s="12" t="str">
        <x:f>IF(A246="","",IF(L246="Not run","Pending",IF(OR(L246="Blocked",L246="Not deployed",L246="Not applicable"),IF(OR(K246="",R246=""),"Needs explanation","Recorded"),IF(OR(L246="Pass",L246="Fail"),IF(OR(K246="",M246="",P246=""),"Needs result/evidence/build","Recorded"),"Needs valid status"))))</x:f>
        <x:v>Pending</x:v>
      </x:c>
    </x:row>
    <x:row r="247" ht="38" customHeight="1">
      <x:c r="A247" s="10" t="str">
        <x:v>QA-0243</x:v>
      </x:c>
      <x:c r="B247" s="10" t="str">
        <x:v>P. Security</x:v>
      </x:c>
      <x:c r="C247" s="10" t="str">
        <x:v>Script and unsafe URL injection</x:v>
      </x:c>
      <x:c r="D247" s="10" t="str">
        <x:v>Protected routes and APIs</x:v>
      </x:c>
      <x:c r="E247" s="10" t="str">
        <x:v>Technical tester</x:v>
      </x:c>
      <x:c r="F247" s="10" t="str">
        <x:v>P0</x:v>
      </x:c>
      <x:c r="G247" s="10" t="str">
        <x:v>Isolated only</x:v>
      </x:c>
      <x:c r="H247" s="10" t="str">
        <x:v>Record deployed build. Use assigned test accounts, synthetic data and approved fixtures/recipients only.</x:v>
      </x:c>
      <x:c r="I247" s="10" t="str">
        <x:v>Submit isolated harmless script markers/unsafe URLs to rendered content and links.</x:v>
      </x:c>
      <x:c r="J247" s="10" t="str">
        <x:v>Escaping/sanitization rejects execution and unsafe redirects.</x:v>
      </x:c>
      <x:c r="K247" s="11" t="str"/>
      <x:c r="L247" s="11" t="str">
        <x:v>Not run</x:v>
      </x:c>
      <x:c r="M247" s="11" t="str"/>
      <x:c r="N247" s="11" t="str"/>
      <x:c r="O247" s="11" t="str"/>
      <x:c r="P247" s="11" t="str"/>
      <x:c r="Q247" s="11" t="str"/>
      <x:c r="R247" s="11" t="str"/>
      <x:c r="S247" s="10" t="str">
        <x:v>Browser + API + database</x:v>
      </x:c>
      <x:c r="T247" s="10" t="str">
        <x:v>Approved testing plan</x:v>
      </x:c>
      <x:c r="U247" s="10" t="str">
        <x:v>Reconcile tagged fixtures; archive/withdraw only owned test publications. Preserve audit/financial history.</x:v>
      </x:c>
      <x:c r="V247" s="12" t="str">
        <x:f>IF(A247="","",IF(L247="Not run","Pending",IF(OR(L247="Blocked",L247="Not deployed",L247="Not applicable"),IF(OR(K247="",R247=""),"Needs explanation","Recorded"),IF(OR(L247="Pass",L247="Fail"),IF(OR(K247="",M247="",P247=""),"Needs result/evidence/build","Recorded"),"Needs valid status"))))</x:f>
        <x:v>Pending</x:v>
      </x:c>
    </x:row>
    <x:row r="248" ht="38" customHeight="1">
      <x:c r="A248" s="10" t="str">
        <x:v>QA-0244</x:v>
      </x:c>
      <x:c r="B248" s="10" t="str">
        <x:v>P. Security</x:v>
      </x:c>
      <x:c r="C248" s="10" t="str">
        <x:v>SQL injection attempts</x:v>
      </x:c>
      <x:c r="D248" s="10" t="str">
        <x:v>Protected routes and APIs</x:v>
      </x:c>
      <x:c r="E248" s="10" t="str">
        <x:v>Technical tester</x:v>
      </x:c>
      <x:c r="F248" s="10" t="str">
        <x:v>P0</x:v>
      </x:c>
      <x:c r="G248" s="10" t="str">
        <x:v>Isolated only</x:v>
      </x:c>
      <x:c r="H248" s="10" t="str">
        <x:v>Record deployed build. Use assigned test accounts, synthetic data and approved fixtures/recipients only.</x:v>
      </x:c>
      <x:c r="I248" s="10" t="str">
        <x:v>Send bounded isolated SQL-shaped strings to filter/ID fields.</x:v>
      </x:c>
      <x:c r="J248" s="10" t="str">
        <x:v>Parameterized queries/validation prevent execution or data leakage.</x:v>
      </x:c>
      <x:c r="K248" s="11" t="str"/>
      <x:c r="L248" s="11" t="str">
        <x:v>Not run</x:v>
      </x:c>
      <x:c r="M248" s="11" t="str"/>
      <x:c r="N248" s="11" t="str"/>
      <x:c r="O248" s="11" t="str"/>
      <x:c r="P248" s="11" t="str"/>
      <x:c r="Q248" s="11" t="str"/>
      <x:c r="R248" s="11" t="str"/>
      <x:c r="S248" s="10" t="str">
        <x:v>Browser + API + database</x:v>
      </x:c>
      <x:c r="T248" s="10" t="str">
        <x:v>Approved testing plan</x:v>
      </x:c>
      <x:c r="U248" s="10" t="str">
        <x:v>Reconcile tagged fixtures; archive/withdraw only owned test publications. Preserve audit/financial history.</x:v>
      </x:c>
      <x:c r="V248" s="12" t="str">
        <x:f>IF(A248="","",IF(L248="Not run","Pending",IF(OR(L248="Blocked",L248="Not deployed",L248="Not applicable"),IF(OR(K248="",R248=""),"Needs explanation","Recorded"),IF(OR(L248="Pass",L248="Fail"),IF(OR(K248="",M248="",P248=""),"Needs result/evidence/build","Recorded"),"Needs valid status"))))</x:f>
        <x:v>Pending</x:v>
      </x:c>
    </x:row>
    <x:row r="249" ht="38" customHeight="1">
      <x:c r="A249" s="10" t="str">
        <x:v>QA-0245</x:v>
      </x:c>
      <x:c r="B249" s="10" t="str">
        <x:v>P. Security</x:v>
      </x:c>
      <x:c r="C249" s="10" t="str">
        <x:v>Webhook forgery replay</x:v>
      </x:c>
      <x:c r="D249" s="10" t="str">
        <x:v>Protected routes and APIs</x:v>
      </x:c>
      <x:c r="E249" s="10" t="str">
        <x:v>Technical tester</x:v>
      </x:c>
      <x:c r="F249" s="10" t="str">
        <x:v>P0</x:v>
      </x:c>
      <x:c r="G249" s="10" t="str">
        <x:v>Isolated only</x:v>
      </x:c>
      <x:c r="H249" s="10" t="str">
        <x:v>Record deployed build. Use assigned test accounts, synthetic data and approved fixtures/recipients only.</x:v>
      </x:c>
      <x:c r="I249" s="10" t="str">
        <x:v>Send forged, old and duplicate signed isolated webhook fixtures.</x:v>
      </x:c>
      <x:c r="J249" s="10" t="str">
        <x:v>Signature/time/idempotency rules enforced; no duplicate side effects.</x:v>
      </x:c>
      <x:c r="K249" s="11" t="str"/>
      <x:c r="L249" s="11" t="str">
        <x:v>Not run</x:v>
      </x:c>
      <x:c r="M249" s="11" t="str"/>
      <x:c r="N249" s="11" t="str"/>
      <x:c r="O249" s="11" t="str"/>
      <x:c r="P249" s="11" t="str"/>
      <x:c r="Q249" s="11" t="str"/>
      <x:c r="R249" s="11" t="str"/>
      <x:c r="S249" s="10" t="str">
        <x:v>Browser + API + database</x:v>
      </x:c>
      <x:c r="T249" s="10" t="str">
        <x:v>Approved testing plan</x:v>
      </x:c>
      <x:c r="U249" s="10" t="str">
        <x:v>Reconcile tagged fixtures; archive/withdraw only owned test publications. Preserve audit/financial history.</x:v>
      </x:c>
      <x:c r="V249" s="12" t="str">
        <x:f>IF(A249="","",IF(L249="Not run","Pending",IF(OR(L249="Blocked",L249="Not deployed",L249="Not applicable"),IF(OR(K249="",R249=""),"Needs explanation","Recorded"),IF(OR(L249="Pass",L249="Fail"),IF(OR(K249="",M249="",P249=""),"Needs result/evidence/build","Recorded"),"Needs valid status"))))</x:f>
        <x:v>Pending</x:v>
      </x:c>
    </x:row>
    <x:row r="250" ht="38" customHeight="1">
      <x:c r="A250" s="10" t="str">
        <x:v>QA-0246</x:v>
      </x:c>
      <x:c r="B250" s="10" t="str">
        <x:v>P. Security</x:v>
      </x:c>
      <x:c r="C250" s="10" t="str">
        <x:v>Rate limit behavior</x:v>
      </x:c>
      <x:c r="D250" s="10" t="str">
        <x:v>Protected routes and APIs</x:v>
      </x:c>
      <x:c r="E250" s="10" t="str">
        <x:v>Technical tester</x:v>
      </x:c>
      <x:c r="F250" s="10" t="str">
        <x:v>P0</x:v>
      </x:c>
      <x:c r="G250" s="10" t="str">
        <x:v>Isolated only</x:v>
      </x:c>
      <x:c r="H250" s="10" t="str">
        <x:v>Record deployed build. Use assigned test accounts, synthetic data and approved fixtures/recipients only.</x:v>
      </x:c>
      <x:c r="I250" s="10" t="str">
        <x:v>Exercise isolated signup/login/inquiry/email limits with bounded test traffic.</x:v>
      </x:c>
      <x:c r="J250" s="10" t="str">
        <x:v>Configured protections work without blocking unrelated identities or bypassing integrity.</x:v>
      </x:c>
      <x:c r="K250" s="11" t="str"/>
      <x:c r="L250" s="11" t="str">
        <x:v>Not run</x:v>
      </x:c>
      <x:c r="M250" s="11" t="str"/>
      <x:c r="N250" s="11" t="str"/>
      <x:c r="O250" s="11" t="str"/>
      <x:c r="P250" s="11" t="str"/>
      <x:c r="Q250" s="11" t="str"/>
      <x:c r="R250" s="11" t="str"/>
      <x:c r="S250" s="10" t="str">
        <x:v>Browser + API + database</x:v>
      </x:c>
      <x:c r="T250" s="10" t="str">
        <x:v>Approved testing plan</x:v>
      </x:c>
      <x:c r="U250" s="10" t="str">
        <x:v>Reconcile tagged fixtures; archive/withdraw only owned test publications. Preserve audit/financial history.</x:v>
      </x:c>
      <x:c r="V250" s="12" t="str">
        <x:f>IF(A250="","",IF(L250="Not run","Pending",IF(OR(L250="Blocked",L250="Not deployed",L250="Not applicable"),IF(OR(K250="",R250=""),"Needs explanation","Recorded"),IF(OR(L250="Pass",L250="Fail"),IF(OR(K250="",M250="",P250=""),"Needs result/evidence/build","Recorded"),"Needs valid status"))))</x:f>
        <x:v>Pending</x:v>
      </x:c>
    </x:row>
    <x:row r="251" ht="38" customHeight="1">
      <x:c r="A251" s="10" t="str">
        <x:v>QA-0247</x:v>
      </x:c>
      <x:c r="B251" s="10" t="str">
        <x:v>P. Security</x:v>
      </x:c>
      <x:c r="C251" s="10" t="str">
        <x:v>Secret exposure review</x:v>
      </x:c>
      <x:c r="D251" s="10" t="str">
        <x:v>Protected routes and APIs</x:v>
      </x:c>
      <x:c r="E251" s="10" t="str">
        <x:v>Technical tester</x:v>
      </x:c>
      <x:c r="F251" s="10" t="str">
        <x:v>P0</x:v>
      </x:c>
      <x:c r="G251" s="10" t="str">
        <x:v>Live - tagged fixture</x:v>
      </x:c>
      <x:c r="H251" s="10" t="str">
        <x:v>Record deployed build. Use assigned test accounts, synthetic data and approved fixtures/recipients only.</x:v>
      </x:c>
      <x:c r="I251" s="10" t="str">
        <x:v>Inspect browser bundles/responses/log samples with approved secret scanner; redact evidence.</x:v>
      </x:c>
      <x:c r="J251" s="10" t="str">
        <x:v>No server credentials, auth tokens, private documents or operational secrets in public output.</x:v>
      </x:c>
      <x:c r="K251" s="11" t="str"/>
      <x:c r="L251" s="11" t="str">
        <x:v>Not run</x:v>
      </x:c>
      <x:c r="M251" s="11" t="str"/>
      <x:c r="N251" s="11" t="str"/>
      <x:c r="O251" s="11" t="str"/>
      <x:c r="P251" s="11" t="str"/>
      <x:c r="Q251" s="11" t="str"/>
      <x:c r="R251" s="11" t="str"/>
      <x:c r="S251" s="10" t="str">
        <x:v>Browser + API + database</x:v>
      </x:c>
      <x:c r="T251" s="10" t="str">
        <x:v>Approved testing plan</x:v>
      </x:c>
      <x:c r="U251" s="10" t="str">
        <x:v>Reconcile tagged fixtures; archive/withdraw only owned test publications. Preserve audit/financial history.</x:v>
      </x:c>
      <x:c r="V251" s="12" t="str">
        <x:f>IF(A251="","",IF(L251="Not run","Pending",IF(OR(L251="Blocked",L251="Not deployed",L251="Not applicable"),IF(OR(K251="",R251=""),"Needs explanation","Recorded"),IF(OR(L251="Pass",L251="Fail"),IF(OR(K251="",M251="",P251=""),"Needs result/evidence/build","Recorded"),"Needs valid status"))))</x:f>
        <x:v>Pending</x:v>
      </x:c>
    </x:row>
    <x:row r="252" ht="38" customHeight="1">
      <x:c r="A252" s="10" t="str">
        <x:v>QA-0248</x:v>
      </x:c>
      <x:c r="B252" s="10" t="str">
        <x:v>Q. Database and operations</x:v>
      </x:c>
      <x:c r="C252" s="10" t="str">
        <x:v>Cross-layer reconciliation</x:v>
      </x:c>
      <x:c r="D252" s="10" t="str">
        <x:v>PostgreSQL / storage / workers / health</x:v>
      </x:c>
      <x:c r="E252" s="10" t="str">
        <x:v>Technical tester</x:v>
      </x:c>
      <x:c r="F252" s="10" t="str">
        <x:v>P0</x:v>
      </x:c>
      <x:c r="G252" s="10" t="str">
        <x:v>Live - tagged fixture</x:v>
      </x:c>
      <x:c r="H252" s="10" t="str">
        <x:v>Record deployed build. Use assigned test accounts, synthetic data and approved fixtures/recipients only.</x:v>
      </x:c>
      <x:c r="I252" s="10" t="str">
        <x:v>For each E2E case record IDs, inspect UI/API/database/audit/jobs/provider outcomes using read-only queries.</x:v>
      </x:c>
      <x:c r="J252" s="10" t="str">
        <x:v>One coherent state and traceable evidence across layers; no success inferred from UI alone.</x:v>
      </x:c>
      <x:c r="K252" s="11" t="str"/>
      <x:c r="L252" s="11" t="str">
        <x:v>Not run</x:v>
      </x:c>
      <x:c r="M252" s="11" t="str"/>
      <x:c r="N252" s="11" t="str"/>
      <x:c r="O252" s="11" t="str"/>
      <x:c r="P252" s="11" t="str"/>
      <x:c r="Q252" s="11" t="str"/>
      <x:c r="R252" s="11" t="str"/>
      <x:c r="S252" s="10" t="str">
        <x:v>Browser + API + database</x:v>
      </x:c>
      <x:c r="T252" s="10" t="str">
        <x:v>Approved testing plan</x:v>
      </x:c>
      <x:c r="U252" s="10" t="str">
        <x:v>Reconcile tagged fixtures; archive/withdraw only owned test publications. Preserve audit/financial history.</x:v>
      </x:c>
      <x:c r="V252" s="12" t="str">
        <x:f>IF(A252="","",IF(L252="Not run","Pending",IF(OR(L252="Blocked",L252="Not deployed",L252="Not applicable"),IF(OR(K252="",R252=""),"Needs explanation","Recorded"),IF(OR(L252="Pass",L252="Fail"),IF(OR(K252="",M252="",P252=""),"Needs result/evidence/build","Recorded"),"Needs valid status"))))</x:f>
        <x:v>Pending</x:v>
      </x:c>
    </x:row>
    <x:row r="253" ht="38" customHeight="1">
      <x:c r="A253" s="10" t="str">
        <x:v>QA-0249</x:v>
      </x:c>
      <x:c r="B253" s="10" t="str">
        <x:v>Q. Database and operations</x:v>
      </x:c>
      <x:c r="C253" s="10" t="str">
        <x:v>Schema integrity</x:v>
      </x:c>
      <x:c r="D253" s="10" t="str">
        <x:v>PostgreSQL / storage / workers / health</x:v>
      </x:c>
      <x:c r="E253" s="10" t="str">
        <x:v>Technical tester</x:v>
      </x:c>
      <x:c r="F253" s="10" t="str">
        <x:v>P0</x:v>
      </x:c>
      <x:c r="G253" s="10" t="str">
        <x:v>Live - tagged fixture</x:v>
      </x:c>
      <x:c r="H253" s="10" t="str">
        <x:v>Record deployed build. Use assigned test accounts, synthetic data and approved fixtures/recipients only.</x:v>
      </x:c>
      <x:c r="I253" s="10" t="str">
        <x:v>Read deployed schema constraints and inspect owned QA linkage/unique/state/precision rules.</x:v>
      </x:c>
      <x:c r="J253" s="10" t="str">
        <x:v>Foreign keys, ownership, uniqueness and valid transitions preserve invariants.</x:v>
      </x:c>
      <x:c r="K253" s="11" t="str"/>
      <x:c r="L253" s="11" t="str">
        <x:v>Not run</x:v>
      </x:c>
      <x:c r="M253" s="11" t="str"/>
      <x:c r="N253" s="11" t="str"/>
      <x:c r="O253" s="11" t="str"/>
      <x:c r="P253" s="11" t="str"/>
      <x:c r="Q253" s="11" t="str"/>
      <x:c r="R253" s="11" t="str"/>
      <x:c r="S253" s="10" t="str">
        <x:v>Browser + API + database</x:v>
      </x:c>
      <x:c r="T253" s="10" t="str">
        <x:v>Approved testing plan</x:v>
      </x:c>
      <x:c r="U253" s="10" t="str">
        <x:v>Reconcile tagged fixtures; archive/withdraw only owned test publications. Preserve audit/financial history.</x:v>
      </x:c>
      <x:c r="V253" s="12" t="str">
        <x:f>IF(A253="","",IF(L253="Not run","Pending",IF(OR(L253="Blocked",L253="Not deployed",L253="Not applicable"),IF(OR(K253="",R253=""),"Needs explanation","Recorded"),IF(OR(L253="Pass",L253="Fail"),IF(OR(K253="",M253="",P253=""),"Needs result/evidence/build","Recorded"),"Needs valid status"))))</x:f>
        <x:v>Pending</x:v>
      </x:c>
    </x:row>
    <x:row r="254" ht="38" customHeight="1">
      <x:c r="A254" s="10" t="str">
        <x:v>QA-0250</x:v>
      </x:c>
      <x:c r="B254" s="10" t="str">
        <x:v>Q. Database and operations</x:v>
      </x:c>
      <x:c r="C254" s="10" t="str">
        <x:v>Transaction rollback</x:v>
      </x:c>
      <x:c r="D254" s="10" t="str">
        <x:v>PostgreSQL / storage / workers / health</x:v>
      </x:c>
      <x:c r="E254" s="10" t="str">
        <x:v>Technical tester</x:v>
      </x:c>
      <x:c r="F254" s="10" t="str">
        <x:v>P0</x:v>
      </x:c>
      <x:c r="G254" s="10" t="str">
        <x:v>Isolated only</x:v>
      </x:c>
      <x:c r="H254" s="10" t="str">
        <x:v>Record deployed build. Use assigned test accounts, synthetic data and approved fixtures/recipients only.</x:v>
      </x:c>
      <x:c r="I254" s="10" t="str">
        <x:v>Inject controlled failure between isolated multi-table writes.</x:v>
      </x:c>
      <x:c r="J254" s="10" t="str">
        <x:v>No partial committed business state or orphaned active references.</x:v>
      </x:c>
      <x:c r="K254" s="11" t="str"/>
      <x:c r="L254" s="11" t="str">
        <x:v>Not run</x:v>
      </x:c>
      <x:c r="M254" s="11" t="str"/>
      <x:c r="N254" s="11" t="str"/>
      <x:c r="O254" s="11" t="str"/>
      <x:c r="P254" s="11" t="str"/>
      <x:c r="Q254" s="11" t="str"/>
      <x:c r="R254" s="11" t="str"/>
      <x:c r="S254" s="10" t="str">
        <x:v>Browser + API + database</x:v>
      </x:c>
      <x:c r="T254" s="10" t="str">
        <x:v>Approved testing plan</x:v>
      </x:c>
      <x:c r="U254" s="10" t="str">
        <x:v>Reconcile tagged fixtures; archive/withdraw only owned test publications. Preserve audit/financial history.</x:v>
      </x:c>
      <x:c r="V254" s="12" t="str">
        <x:f>IF(A254="","",IF(L254="Not run","Pending",IF(OR(L254="Blocked",L254="Not deployed",L254="Not applicable"),IF(OR(K254="",R254=""),"Needs explanation","Recorded"),IF(OR(L254="Pass",L254="Fail"),IF(OR(K254="",M254="",P254=""),"Needs result/evidence/build","Recorded"),"Needs valid status"))))</x:f>
        <x:v>Pending</x:v>
      </x:c>
    </x:row>
    <x:row r="255" ht="38" customHeight="1">
      <x:c r="A255" s="10" t="str">
        <x:v>QA-0251</x:v>
      </x:c>
      <x:c r="B255" s="10" t="str">
        <x:v>Q. Database and operations</x:v>
      </x:c>
      <x:c r="C255" s="10" t="str">
        <x:v>Concurrent integrity</x:v>
      </x:c>
      <x:c r="D255" s="10" t="str">
        <x:v>PostgreSQL / storage / workers / health</x:v>
      </x:c>
      <x:c r="E255" s="10" t="str">
        <x:v>Technical tester</x:v>
      </x:c>
      <x:c r="F255" s="10" t="str">
        <x:v>P0</x:v>
      </x:c>
      <x:c r="G255" s="10" t="str">
        <x:v>Isolated only</x:v>
      </x:c>
      <x:c r="H255" s="10" t="str">
        <x:v>Record deployed build. Use assigned test accounts, synthetic data and approved fixtures/recipients only.</x:v>
      </x:c>
      <x:c r="I255" s="10" t="str">
        <x:v>Race isolated bookings/payments/reviews/import commits.</x:v>
      </x:c>
      <x:c r="J255" s="10" t="str">
        <x:v>Locks/version checks prevent duplicates, lost updates and inconsistent totals.</x:v>
      </x:c>
      <x:c r="K255" s="11" t="str"/>
      <x:c r="L255" s="11" t="str">
        <x:v>Not run</x:v>
      </x:c>
      <x:c r="M255" s="11" t="str"/>
      <x:c r="N255" s="11" t="str"/>
      <x:c r="O255" s="11" t="str"/>
      <x:c r="P255" s="11" t="str"/>
      <x:c r="Q255" s="11" t="str"/>
      <x:c r="R255" s="11" t="str"/>
      <x:c r="S255" s="10" t="str">
        <x:v>Browser + API + database</x:v>
      </x:c>
      <x:c r="T255" s="10" t="str">
        <x:v>Approved testing plan</x:v>
      </x:c>
      <x:c r="U255" s="10" t="str">
        <x:v>Reconcile tagged fixtures; archive/withdraw only owned test publications. Preserve audit/financial history.</x:v>
      </x:c>
      <x:c r="V255" s="12" t="str">
        <x:f>IF(A255="","",IF(L255="Not run","Pending",IF(OR(L255="Blocked",L255="Not deployed",L255="Not applicable"),IF(OR(K255="",R255=""),"Needs explanation","Recorded"),IF(OR(L255="Pass",L255="Fail"),IF(OR(K255="",M255="",P255=""),"Needs result/evidence/build","Recorded"),"Needs valid status"))))</x:f>
        <x:v>Pending</x:v>
      </x:c>
    </x:row>
    <x:row r="256" ht="38" customHeight="1">
      <x:c r="A256" s="10" t="str">
        <x:v>QA-0252</x:v>
      </x:c>
      <x:c r="B256" s="10" t="str">
        <x:v>Q. Database and operations</x:v>
      </x:c>
      <x:c r="C256" s="10" t="str">
        <x:v>Migration identity</x:v>
      </x:c>
      <x:c r="D256" s="10" t="str">
        <x:v>PostgreSQL / storage / workers / health</x:v>
      </x:c>
      <x:c r="E256" s="10" t="str">
        <x:v>Technical tester</x:v>
      </x:c>
      <x:c r="F256" s="10" t="str">
        <x:v>P0</x:v>
      </x:c>
      <x:c r="G256" s="10" t="str">
        <x:v>Live - tagged fixture</x:v>
      </x:c>
      <x:c r="H256" s="10" t="str">
        <x:v>Record deployed build. Use assigned test accounts, synthetic data and approved fixtures/recipients only.</x:v>
      </x:c>
      <x:c r="I256" s="10" t="str">
        <x:v>Read deployed migration ledger and compare ordered checksums with exact deployed source.</x:v>
      </x:c>
      <x:c r="J256" s="10" t="str">
        <x:v>Missing/mismatched migrations explicitly block candidate acceptance; no migration executed live.</x:v>
      </x:c>
      <x:c r="K256" s="11" t="str"/>
      <x:c r="L256" s="11" t="str">
        <x:v>Not run</x:v>
      </x:c>
      <x:c r="M256" s="11" t="str"/>
      <x:c r="N256" s="11" t="str"/>
      <x:c r="O256" s="11" t="str"/>
      <x:c r="P256" s="11" t="str"/>
      <x:c r="Q256" s="11" t="str"/>
      <x:c r="R256" s="11" t="str"/>
      <x:c r="S256" s="10" t="str">
        <x:v>Browser + API + database</x:v>
      </x:c>
      <x:c r="T256" s="10" t="str">
        <x:v>Approved testing plan</x:v>
      </x:c>
      <x:c r="U256" s="10" t="str">
        <x:v>Reconcile tagged fixtures; archive/withdraw only owned test publications. Preserve audit/financial history.</x:v>
      </x:c>
      <x:c r="V256" s="12" t="str">
        <x:f>IF(A256="","",IF(L256="Not run","Pending",IF(OR(L256="Blocked",L256="Not deployed",L256="Not applicable"),IF(OR(K256="",R256=""),"Needs explanation","Recorded"),IF(OR(L256="Pass",L256="Fail"),IF(OR(K256="",M256="",P256=""),"Needs result/evidence/build","Recorded"),"Needs valid status"))))</x:f>
        <x:v>Pending</x:v>
      </x:c>
    </x:row>
    <x:row r="257" ht="38" customHeight="1">
      <x:c r="A257" s="10" t="str">
        <x:v>QA-0253</x:v>
      </x:c>
      <x:c r="B257" s="10" t="str">
        <x:v>Q. Database and operations</x:v>
      </x:c>
      <x:c r="C257" s="10" t="str">
        <x:v>Migration rehearsal</x:v>
      </x:c>
      <x:c r="D257" s="10" t="str">
        <x:v>PostgreSQL / storage / workers / health</x:v>
      </x:c>
      <x:c r="E257" s="10" t="str">
        <x:v>Technical tester</x:v>
      </x:c>
      <x:c r="F257" s="10" t="str">
        <x:v>P0</x:v>
      </x:c>
      <x:c r="G257" s="10" t="str">
        <x:v>Isolated only</x:v>
      </x:c>
      <x:c r="H257" s="10" t="str">
        <x:v>Record deployed build. Use assigned test accounts, synthetic data and approved fixtures/recipients only.</x:v>
      </x:c>
      <x:c r="I257" s="10" t="str">
        <x:v>Apply candidate migrations to disposable database/approved isolated restore.</x:v>
      </x:c>
      <x:c r="J257" s="10" t="str">
        <x:v>Ordered checksums and preserved data verified; never rewrite applied identities.</x:v>
      </x:c>
      <x:c r="K257" s="11" t="str"/>
      <x:c r="L257" s="11" t="str">
        <x:v>Not run</x:v>
      </x:c>
      <x:c r="M257" s="11" t="str"/>
      <x:c r="N257" s="11" t="str"/>
      <x:c r="O257" s="11" t="str"/>
      <x:c r="P257" s="11" t="str"/>
      <x:c r="Q257" s="11" t="str"/>
      <x:c r="R257" s="11" t="str"/>
      <x:c r="S257" s="10" t="str">
        <x:v>Browser + API + database</x:v>
      </x:c>
      <x:c r="T257" s="10" t="str">
        <x:v>Approved testing plan</x:v>
      </x:c>
      <x:c r="U257" s="10" t="str">
        <x:v>Reconcile tagged fixtures; archive/withdraw only owned test publications. Preserve audit/financial history.</x:v>
      </x:c>
      <x:c r="V257" s="12" t="str">
        <x:f>IF(A257="","",IF(L257="Not run","Pending",IF(OR(L257="Blocked",L257="Not deployed",L257="Not applicable"),IF(OR(K257="",R257=""),"Needs explanation","Recorded"),IF(OR(L257="Pass",L257="Fail"),IF(OR(K257="",M257="",P257=""),"Needs result/evidence/build","Recorded"),"Needs valid status"))))</x:f>
        <x:v>Pending</x:v>
      </x:c>
    </x:row>
    <x:row r="258" ht="38" customHeight="1">
      <x:c r="A258" s="10" t="str">
        <x:v>QA-0254</x:v>
      </x:c>
      <x:c r="B258" s="10" t="str">
        <x:v>Q. Database and operations</x:v>
      </x:c>
      <x:c r="C258" s="10" t="str">
        <x:v>Restricted database roles</x:v>
      </x:c>
      <x:c r="D258" s="10" t="str">
        <x:v>PostgreSQL / storage / workers / health</x:v>
      </x:c>
      <x:c r="E258" s="10" t="str">
        <x:v>Technical tester</x:v>
      </x:c>
      <x:c r="F258" s="10" t="str">
        <x:v>P0</x:v>
      </x:c>
      <x:c r="G258" s="10" t="str">
        <x:v>Isolated only</x:v>
      </x:c>
      <x:c r="H258" s="10" t="str">
        <x:v>Record deployed build. Use assigned test accounts, synthetic data and approved fixtures/recipients only.</x:v>
      </x:c>
      <x:c r="I258" s="10" t="str">
        <x:v>Run web/worker action suites under intended restricted isolated database credentials.</x:v>
      </x:c>
      <x:c r="J258" s="10" t="str">
        <x:v>Required actions succeed; unnecessary schema/data privileges denied.</x:v>
      </x:c>
      <x:c r="K258" s="11" t="str"/>
      <x:c r="L258" s="11" t="str">
        <x:v>Not run</x:v>
      </x:c>
      <x:c r="M258" s="11" t="str"/>
      <x:c r="N258" s="11" t="str"/>
      <x:c r="O258" s="11" t="str"/>
      <x:c r="P258" s="11" t="str"/>
      <x:c r="Q258" s="11" t="str"/>
      <x:c r="R258" s="11" t="str"/>
      <x:c r="S258" s="10" t="str">
        <x:v>Browser + API + database</x:v>
      </x:c>
      <x:c r="T258" s="10" t="str">
        <x:v>Approved testing plan</x:v>
      </x:c>
      <x:c r="U258" s="10" t="str">
        <x:v>Reconcile tagged fixtures; archive/withdraw only owned test publications. Preserve audit/financial history.</x:v>
      </x:c>
      <x:c r="V258" s="12" t="str">
        <x:f>IF(A258="","",IF(L258="Not run","Pending",IF(OR(L258="Blocked",L258="Not deployed",L258="Not applicable"),IF(OR(K258="",R258=""),"Needs explanation","Recorded"),IF(OR(L258="Pass",L258="Fail"),IF(OR(K258="",M258="",P258=""),"Needs result/evidence/build","Recorded"),"Needs valid status"))))</x:f>
        <x:v>Pending</x:v>
      </x:c>
    </x:row>
    <x:row r="259" ht="38" customHeight="1">
      <x:c r="A259" s="10" t="str">
        <x:v>QA-0255</x:v>
      </x:c>
      <x:c r="B259" s="10" t="str">
        <x:v>Q. Database and operations</x:v>
      </x:c>
      <x:c r="C259" s="10" t="str">
        <x:v>Storage consistency</x:v>
      </x:c>
      <x:c r="D259" s="10" t="str">
        <x:v>PostgreSQL / storage / workers / health</x:v>
      </x:c>
      <x:c r="E259" s="10" t="str">
        <x:v>Technical tester</x:v>
      </x:c>
      <x:c r="F259" s="10" t="str">
        <x:v>P0</x:v>
      </x:c>
      <x:c r="G259" s="10" t="str">
        <x:v>Live - tagged fixture</x:v>
      </x:c>
      <x:c r="H259" s="10" t="str">
        <x:v>Record deployed build. Use assigned test accounts, synthetic data and approved fixtures/recipients only.</x:v>
      </x:c>
      <x:c r="I259" s="10" t="str">
        <x:v>Compare owned QA upload/download/replacement references and bytes with object store.</x:v>
      </x:c>
      <x:c r="J259" s="10" t="str">
        <x:v>No missing intended objects or public/private namespace crossover.</x:v>
      </x:c>
      <x:c r="K259" s="11" t="str"/>
      <x:c r="L259" s="11" t="str">
        <x:v>Not run</x:v>
      </x:c>
      <x:c r="M259" s="11" t="str"/>
      <x:c r="N259" s="11" t="str"/>
      <x:c r="O259" s="11" t="str"/>
      <x:c r="P259" s="11" t="str"/>
      <x:c r="Q259" s="11" t="str"/>
      <x:c r="R259" s="11" t="str"/>
      <x:c r="S259" s="10" t="str">
        <x:v>Browser + API + database</x:v>
      </x:c>
      <x:c r="T259" s="10" t="str">
        <x:v>Approved testing plan</x:v>
      </x:c>
      <x:c r="U259" s="10" t="str">
        <x:v>Reconcile tagged fixtures; archive/withdraw only owned test publications. Preserve audit/financial history.</x:v>
      </x:c>
      <x:c r="V259" s="12" t="str">
        <x:f>IF(A259="","",IF(L259="Not run","Pending",IF(OR(L259="Blocked",L259="Not deployed",L259="Not applicable"),IF(OR(K259="",R259=""),"Needs explanation","Recorded"),IF(OR(L259="Pass",L259="Fail"),IF(OR(K259="",M259="",P259=""),"Needs result/evidence/build","Recorded"),"Needs valid status"))))</x:f>
        <x:v>Pending</x:v>
      </x:c>
    </x:row>
    <x:row r="260" ht="38" customHeight="1">
      <x:c r="A260" s="10" t="str">
        <x:v>QA-0256</x:v>
      </x:c>
      <x:c r="B260" s="10" t="str">
        <x:v>Q. Database and operations</x:v>
      </x:c>
      <x:c r="C260" s="10" t="str">
        <x:v>Worker crash isolation</x:v>
      </x:c>
      <x:c r="D260" s="10" t="str">
        <x:v>PostgreSQL / storage / workers / health</x:v>
      </x:c>
      <x:c r="E260" s="10" t="str">
        <x:v>Technical tester</x:v>
      </x:c>
      <x:c r="F260" s="10" t="str">
        <x:v>P0</x:v>
      </x:c>
      <x:c r="G260" s="10" t="str">
        <x:v>Isolated only</x:v>
      </x:c>
      <x:c r="H260" s="10" t="str">
        <x:v>Record deployed build. Use assigned test accounts, synthetic data and approved fixtures/recipients only.</x:v>
      </x:c>
      <x:c r="I260" s="10" t="str">
        <x:v>Stop isolated email/import child and inspect web/health/restart behavior.</x:v>
      </x:c>
      <x:c r="J260" s="10" t="str">
        <x:v>Web behavior and health accurate; owned worker restarts without duplicate work.</x:v>
      </x:c>
      <x:c r="K260" s="11" t="str"/>
      <x:c r="L260" s="11" t="str">
        <x:v>Not run</x:v>
      </x:c>
      <x:c r="M260" s="11" t="str"/>
      <x:c r="N260" s="11" t="str"/>
      <x:c r="O260" s="11" t="str"/>
      <x:c r="P260" s="11" t="str"/>
      <x:c r="Q260" s="11" t="str"/>
      <x:c r="R260" s="11" t="str"/>
      <x:c r="S260" s="10" t="str">
        <x:v>Browser + API + database</x:v>
      </x:c>
      <x:c r="T260" s="10" t="str">
        <x:v>Approved testing plan</x:v>
      </x:c>
      <x:c r="U260" s="10" t="str">
        <x:v>Reconcile tagged fixtures; archive/withdraw only owned test publications. Preserve audit/financial history.</x:v>
      </x:c>
      <x:c r="V260" s="12" t="str">
        <x:f>IF(A260="","",IF(L260="Not run","Pending",IF(OR(L260="Blocked",L260="Not deployed",L260="Not applicable"),IF(OR(K260="",R260=""),"Needs explanation","Recorded"),IF(OR(L260="Pass",L260="Fail"),IF(OR(K260="",M260="",P260=""),"Needs result/evidence/build","Recorded"),"Needs valid status"))))</x:f>
        <x:v>Pending</x:v>
      </x:c>
    </x:row>
    <x:row r="261" ht="38" customHeight="1">
      <x:c r="A261" s="10" t="str">
        <x:v>QA-0257</x:v>
      </x:c>
      <x:c r="B261" s="10" t="str">
        <x:v>Q. Database and operations</x:v>
      </x:c>
      <x:c r="C261" s="10" t="str">
        <x:v>Lease and deadlock recovery</x:v>
      </x:c>
      <x:c r="D261" s="10" t="str">
        <x:v>PostgreSQL / storage / workers / health</x:v>
      </x:c>
      <x:c r="E261" s="10" t="str">
        <x:v>Technical tester</x:v>
      </x:c>
      <x:c r="F261" s="10" t="str">
        <x:v>P0</x:v>
      </x:c>
      <x:c r="G261" s="10" t="str">
        <x:v>Isolated only</x:v>
      </x:c>
      <x:c r="H261" s="10" t="str">
        <x:v>Record deployed build. Use assigned test accounts, synthetic data and approved fixtures/recipients only.</x:v>
      </x:c>
      <x:c r="I261" s="10" t="str">
        <x:v>Run isolated multiple workers and conflicting transactions with telemetry.</x:v>
      </x:c>
      <x:c r="J261" s="10" t="str">
        <x:v>One logical job execution; bounded recovery and visible errors.</x:v>
      </x:c>
      <x:c r="K261" s="11" t="str"/>
      <x:c r="L261" s="11" t="str">
        <x:v>Not run</x:v>
      </x:c>
      <x:c r="M261" s="11" t="str"/>
      <x:c r="N261" s="11" t="str"/>
      <x:c r="O261" s="11" t="str"/>
      <x:c r="P261" s="11" t="str"/>
      <x:c r="Q261" s="11" t="str"/>
      <x:c r="R261" s="11" t="str"/>
      <x:c r="S261" s="10" t="str">
        <x:v>Browser + API + database</x:v>
      </x:c>
      <x:c r="T261" s="10" t="str">
        <x:v>Approved testing plan</x:v>
      </x:c>
      <x:c r="U261" s="10" t="str">
        <x:v>Reconcile tagged fixtures; archive/withdraw only owned test publications. Preserve audit/financial history.</x:v>
      </x:c>
      <x:c r="V261" s="12" t="str">
        <x:f>IF(A261="","",IF(L261="Not run","Pending",IF(OR(L261="Blocked",L261="Not deployed",L261="Not applicable"),IF(OR(K261="",R261=""),"Needs explanation","Recorded"),IF(OR(L261="Pass",L261="Fail"),IF(OR(K261="",M261="",P261=""),"Needs result/evidence/build","Recorded"),"Needs valid status"))))</x:f>
        <x:v>Pending</x:v>
      </x:c>
    </x:row>
    <x:row r="262" ht="38" customHeight="1">
      <x:c r="A262" s="10" t="str">
        <x:v>QA-0258</x:v>
      </x:c>
      <x:c r="B262" s="10" t="str">
        <x:v>Q. Database and operations</x:v>
      </x:c>
      <x:c r="C262" s="10" t="str">
        <x:v>Backup restore</x:v>
      </x:c>
      <x:c r="D262" s="10" t="str">
        <x:v>PostgreSQL / storage / workers / health</x:v>
      </x:c>
      <x:c r="E262" s="10" t="str">
        <x:v>Technical tester</x:v>
      </x:c>
      <x:c r="F262" s="10" t="str">
        <x:v>P0</x:v>
      </x:c>
      <x:c r="G262" s="10" t="str">
        <x:v>Isolated only</x:v>
      </x:c>
      <x:c r="H262" s="10" t="str">
        <x:v>Record deployed build. Use assigned test accounts, synthetic data and approved fixtures/recipients only.</x:v>
      </x:c>
      <x:c r="I262" s="10" t="str">
        <x:v>Restore approved backup into isolated restricted environment and reconcile rows/files.</x:v>
      </x:c>
      <x:c r="J262" s="10" t="str">
        <x:v>Restore is usable; measured recovery time/data loss recorded against owner targets.</x:v>
      </x:c>
      <x:c r="K262" s="11" t="str"/>
      <x:c r="L262" s="11" t="str">
        <x:v>Not run</x:v>
      </x:c>
      <x:c r="M262" s="11" t="str"/>
      <x:c r="N262" s="11" t="str"/>
      <x:c r="O262" s="11" t="str"/>
      <x:c r="P262" s="11" t="str"/>
      <x:c r="Q262" s="11" t="str"/>
      <x:c r="R262" s="11" t="str"/>
      <x:c r="S262" s="10" t="str">
        <x:v>Browser + API + database</x:v>
      </x:c>
      <x:c r="T262" s="10" t="str">
        <x:v>Approved testing plan</x:v>
      </x:c>
      <x:c r="U262" s="10" t="str">
        <x:v>Reconcile tagged fixtures; archive/withdraw only owned test publications. Preserve audit/financial history.</x:v>
      </x:c>
      <x:c r="V262" s="12" t="str">
        <x:f>IF(A262="","",IF(L262="Not run","Pending",IF(OR(L262="Blocked",L262="Not deployed",L262="Not applicable"),IF(OR(K262="",R262=""),"Needs explanation","Recorded"),IF(OR(L262="Pass",L262="Fail"),IF(OR(K262="",M262="",P262=""),"Needs result/evidence/build","Recorded"),"Needs valid status"))))</x:f>
        <x:v>Pending</x:v>
      </x:c>
    </x:row>
    <x:row r="263" ht="38" customHeight="1">
      <x:c r="A263" s="10" t="str">
        <x:v>QA-0259</x:v>
      </x:c>
      <x:c r="B263" s="10" t="str">
        <x:v>Q. Database and operations</x:v>
      </x:c>
      <x:c r="C263" s="10" t="str">
        <x:v>Restore communication hold</x:v>
      </x:c>
      <x:c r="D263" s="10" t="str">
        <x:v>PostgreSQL / storage / workers / health</x:v>
      </x:c>
      <x:c r="E263" s="10" t="str">
        <x:v>Technical tester</x:v>
      </x:c>
      <x:c r="F263" s="10" t="str">
        <x:v>P0</x:v>
      </x:c>
      <x:c r="G263" s="10" t="str">
        <x:v>Isolated only</x:v>
      </x:c>
      <x:c r="H263" s="10" t="str">
        <x:v>Record deployed build. Use assigned test accounts, synthetic data and approved fixtures/recipients only.</x:v>
      </x:c>
      <x:c r="I263" s="10" t="str">
        <x:v>Inspect restored queue with all external providers disabled before worker start.</x:v>
      </x:c>
      <x:c r="J263" s="10" t="str">
        <x:v>No live recipient send or live external write occurs during recovery.</x:v>
      </x:c>
      <x:c r="K263" s="11" t="str"/>
      <x:c r="L263" s="11" t="str">
        <x:v>Not run</x:v>
      </x:c>
      <x:c r="M263" s="11" t="str"/>
      <x:c r="N263" s="11" t="str"/>
      <x:c r="O263" s="11" t="str"/>
      <x:c r="P263" s="11" t="str"/>
      <x:c r="Q263" s="11" t="str"/>
      <x:c r="R263" s="11" t="str"/>
      <x:c r="S263" s="10" t="str">
        <x:v>Browser + API + database</x:v>
      </x:c>
      <x:c r="T263" s="10" t="str">
        <x:v>Approved testing plan</x:v>
      </x:c>
      <x:c r="U263" s="10" t="str">
        <x:v>Reconcile tagged fixtures; archive/withdraw only owned test publications. Preserve audit/financial history.</x:v>
      </x:c>
      <x:c r="V263" s="12" t="str">
        <x:f>IF(A263="","",IF(L263="Not run","Pending",IF(OR(L263="Blocked",L263="Not deployed",L263="Not applicable"),IF(OR(K263="",R263=""),"Needs explanation","Recorded"),IF(OR(L263="Pass",L263="Fail"),IF(OR(K263="",M263="",P263=""),"Needs result/evidence/build","Recorded"),"Needs valid status"))))</x:f>
        <x:v>Pending</x:v>
      </x:c>
    </x:row>
    <x:row r="264" ht="38" customHeight="1">
      <x:c r="A264" s="10" t="str">
        <x:v>QA-0260</x:v>
      </x:c>
      <x:c r="B264" s="10" t="str">
        <x:v>Q. Database and operations</x:v>
      </x:c>
      <x:c r="C264" s="10" t="str">
        <x:v>Cleanup reconciliation</x:v>
      </x:c>
      <x:c r="D264" s="10" t="str">
        <x:v>PostgreSQL / storage / workers / health</x:v>
      </x:c>
      <x:c r="E264" s="10" t="str">
        <x:v>Technical tester</x:v>
      </x:c>
      <x:c r="F264" s="10" t="str">
        <x:v>P0</x:v>
      </x:c>
      <x:c r="G264" s="10" t="str">
        <x:v>Live - tagged fixture</x:v>
      </x:c>
      <x:c r="H264" s="10" t="str">
        <x:v>Record deployed build. Use assigned test accounts, synthetic data and approved fixtures/recipients only.</x:v>
      </x:c>
      <x:c r="I264" s="10" t="str">
        <x:v>Withdraw/archive owned QA publications, restore shared settings, reconcile exact records/jobs/objects.</x:v>
      </x:c>
      <x:c r="J264" s="10" t="str">
        <x:v>No unrelated changes; retained audit/financial history documented; owner confirms completion.</x:v>
      </x:c>
      <x:c r="K264" s="11" t="str"/>
      <x:c r="L264" s="11" t="str">
        <x:v>Not run</x:v>
      </x:c>
      <x:c r="M264" s="11" t="str"/>
      <x:c r="N264" s="11" t="str"/>
      <x:c r="O264" s="11" t="str"/>
      <x:c r="P264" s="11" t="str"/>
      <x:c r="Q264" s="11" t="str"/>
      <x:c r="R264" s="11" t="str"/>
      <x:c r="S264" s="10" t="str">
        <x:v>Browser + API + database</x:v>
      </x:c>
      <x:c r="T264" s="10" t="str">
        <x:v>Approved testing plan</x:v>
      </x:c>
      <x:c r="U264" s="10" t="str">
        <x:v>Reconcile tagged fixtures; archive/withdraw only owned test publications. Preserve audit/financial history.</x:v>
      </x:c>
      <x:c r="V264" s="12" t="str">
        <x:f>IF(A264="","",IF(L264="Not run","Pending",IF(OR(L264="Blocked",L264="Not deployed",L264="Not applicable"),IF(OR(K264="",R264=""),"Needs explanation","Recorded"),IF(OR(L264="Pass",L264="Fail"),IF(OR(K264="",M264="",P264=""),"Needs result/evidence/build","Recorded"),"Needs valid status"))))</x:f>
        <x:v>Pending</x:v>
      </x:c>
    </x:row>
    <x:row r="265" ht="38" customHeight="1">
      <x:c r="A265" s="10" t="str">
        <x:v>QA-0261</x:v>
      </x:c>
      <x:c r="B265" s="10" t="str">
        <x:v>R. UX and efficiency</x:v>
      </x:c>
      <x:c r="C265" s="10" t="str">
        <x:v>Physical device matrix</x:v>
      </x:c>
      <x:c r="D265" s="10" t="str">
        <x:v>All public/member/admin sections</x:v>
      </x:c>
      <x:c r="E265" s="10" t="str">
        <x:v>Technical tester</x:v>
      </x:c>
      <x:c r="F265" s="10" t="str">
        <x:v>P1</x:v>
      </x:c>
      <x:c r="G265" s="10" t="str">
        <x:v>Live - read-only</x:v>
      </x:c>
      <x:c r="H265" s="10" t="str">
        <x:v>Record deployed build. Use assigned test accounts, synthetic data and approved fixtures/recipients only.</x:v>
      </x:c>
      <x:c r="I265" s="10" t="str">
        <x:v>Run representative P0/P1 journeys on real Android Chrome and iPhone Safari where available.</x:v>
      </x:c>
      <x:c r="J265" s="10" t="str">
        <x:v>Real-device findings separated from desktop viewport emulation; unavailable device is Blocked.</x:v>
      </x:c>
      <x:c r="K265" s="11" t="str"/>
      <x:c r="L265" s="11" t="str">
        <x:v>Not run</x:v>
      </x:c>
      <x:c r="M265" s="11" t="str"/>
      <x:c r="N265" s="11" t="str"/>
      <x:c r="O265" s="11" t="str"/>
      <x:c r="P265" s="11" t="str"/>
      <x:c r="Q265" s="11" t="str"/>
      <x:c r="R265" s="11" t="str"/>
      <x:c r="S265" s="10" t="str">
        <x:v>Browser + API + database</x:v>
      </x:c>
      <x:c r="T265" s="10" t="str">
        <x:v>Approved testing plan</x:v>
      </x:c>
      <x:c r="U265" s="10" t="str">
        <x:v>Reconcile tagged fixtures; archive/withdraw only owned test publications. Preserve audit/financial history.</x:v>
      </x:c>
      <x:c r="V265" s="12" t="str">
        <x:f>IF(A265="","",IF(L265="Not run","Pending",IF(OR(L265="Blocked",L265="Not deployed",L265="Not applicable"),IF(OR(K265="",R265=""),"Needs explanation","Recorded"),IF(OR(L265="Pass",L265="Fail"),IF(OR(K265="",M265="",P265=""),"Needs result/evidence/build","Recorded"),"Needs valid status"))))</x:f>
        <x:v>Pending</x:v>
      </x:c>
    </x:row>
    <x:row r="266" ht="38" customHeight="1">
      <x:c r="A266" s="10" t="str">
        <x:v>QA-0262</x:v>
      </x:c>
      <x:c r="B266" s="10" t="str">
        <x:v>R. UX and efficiency</x:v>
      </x:c>
      <x:c r="C266" s="10" t="str">
        <x:v>Browser matrix</x:v>
      </x:c>
      <x:c r="D266" s="10" t="str">
        <x:v>All public/member/admin sections</x:v>
      </x:c>
      <x:c r="E266" s="10" t="str">
        <x:v>Technical tester</x:v>
      </x:c>
      <x:c r="F266" s="10" t="str">
        <x:v>P1</x:v>
      </x:c>
      <x:c r="G266" s="10" t="str">
        <x:v>Live - read-only</x:v>
      </x:c>
      <x:c r="H266" s="10" t="str">
        <x:v>Record deployed build. Use assigned test accounts, synthetic data and approved fixtures/recipients only.</x:v>
      </x:c>
      <x:c r="I266" s="10" t="str">
        <x:v>Run core journeys on current available Chrome, Edge, Firefox and Safari with recorded versions.</x:v>
      </x:c>
      <x:c r="J266" s="10" t="str">
        <x:v>Core behavior works across supported browsers; unsupported browsers explicitly agreed.</x:v>
      </x:c>
      <x:c r="K266" s="11" t="str"/>
      <x:c r="L266" s="11" t="str">
        <x:v>Not run</x:v>
      </x:c>
      <x:c r="M266" s="11" t="str"/>
      <x:c r="N266" s="11" t="str"/>
      <x:c r="O266" s="11" t="str"/>
      <x:c r="P266" s="11" t="str"/>
      <x:c r="Q266" s="11" t="str"/>
      <x:c r="R266" s="11" t="str"/>
      <x:c r="S266" s="10" t="str">
        <x:v>Browser + API + database</x:v>
      </x:c>
      <x:c r="T266" s="10" t="str">
        <x:v>Approved testing plan</x:v>
      </x:c>
      <x:c r="U266" s="10" t="str">
        <x:v>Reconcile tagged fixtures; archive/withdraw only owned test publications. Preserve audit/financial history.</x:v>
      </x:c>
      <x:c r="V266" s="12" t="str">
        <x:f>IF(A266="","",IF(L266="Not run","Pending",IF(OR(L266="Blocked",L266="Not deployed",L266="Not applicable"),IF(OR(K266="",R266=""),"Needs explanation","Recorded"),IF(OR(L266="Pass",L266="Fail"),IF(OR(K266="",M266="",P266=""),"Needs result/evidence/build","Recorded"),"Needs valid status"))))</x:f>
        <x:v>Pending</x:v>
      </x:c>
    </x:row>
    <x:row r="267" ht="38" customHeight="1">
      <x:c r="A267" s="10" t="str">
        <x:v>QA-0263</x:v>
      </x:c>
      <x:c r="B267" s="10" t="str">
        <x:v>R. UX and efficiency</x:v>
      </x:c>
      <x:c r="C267" s="10" t="str">
        <x:v>Screen-reader flow</x:v>
      </x:c>
      <x:c r="D267" s="10" t="str">
        <x:v>All public/member/admin sections</x:v>
      </x:c>
      <x:c r="E267" s="10" t="str">
        <x:v>Technical tester</x:v>
      </x:c>
      <x:c r="F267" s="10" t="str">
        <x:v>P1</x:v>
      </x:c>
      <x:c r="G267" s="10" t="str">
        <x:v>Live - read-only</x:v>
      </x:c>
      <x:c r="H267" s="10" t="str">
        <x:v>Record deployed build. Use assigned test accounts, synthetic data and approved fixtures/recipients only.</x:v>
      </x:c>
      <x:c r="I267" s="10" t="str">
        <x:v>Complete signup/application/event booking and admin dialog using available screen reader.</x:v>
      </x:c>
      <x:c r="J267" s="10" t="str">
        <x:v>Meaningful labels, reading order and announced validation/state changes.</x:v>
      </x:c>
      <x:c r="K267" s="11" t="str"/>
      <x:c r="L267" s="11" t="str">
        <x:v>Not run</x:v>
      </x:c>
      <x:c r="M267" s="11" t="str"/>
      <x:c r="N267" s="11" t="str"/>
      <x:c r="O267" s="11" t="str"/>
      <x:c r="P267" s="11" t="str"/>
      <x:c r="Q267" s="11" t="str"/>
      <x:c r="R267" s="11" t="str"/>
      <x:c r="S267" s="10" t="str">
        <x:v>Browser + API + database</x:v>
      </x:c>
      <x:c r="T267" s="10" t="str">
        <x:v>Approved testing plan</x:v>
      </x:c>
      <x:c r="U267" s="10" t="str">
        <x:v>Reconcile tagged fixtures; archive/withdraw only owned test publications. Preserve audit/financial history.</x:v>
      </x:c>
      <x:c r="V267" s="12" t="str">
        <x:f>IF(A267="","",IF(L267="Not run","Pending",IF(OR(L267="Blocked",L267="Not deployed",L267="Not applicable"),IF(OR(K267="",R267=""),"Needs explanation","Recorded"),IF(OR(L267="Pass",L267="Fail"),IF(OR(K267="",M267="",P267=""),"Needs result/evidence/build","Recorded"),"Needs valid status"))))</x:f>
        <x:v>Pending</x:v>
      </x:c>
    </x:row>
    <x:row r="268" ht="38" customHeight="1">
      <x:c r="A268" s="10" t="str">
        <x:v>QA-0264</x:v>
      </x:c>
      <x:c r="B268" s="10" t="str">
        <x:v>R. UX and efficiency</x:v>
      </x:c>
      <x:c r="C268" s="10" t="str">
        <x:v>Console and network</x:v>
      </x:c>
      <x:c r="D268" s="10" t="str">
        <x:v>All public/member/admin sections</x:v>
      </x:c>
      <x:c r="E268" s="10" t="str">
        <x:v>Technical tester</x:v>
      </x:c>
      <x:c r="F268" s="10" t="str">
        <x:v>P1</x:v>
      </x:c>
      <x:c r="G268" s="10" t="str">
        <x:v>Live - read-only</x:v>
      </x:c>
      <x:c r="H268" s="10" t="str">
        <x:v>Record deployed build. Use assigned test accounts, synthetic data and approved fixtures/recipients only.</x:v>
      </x:c>
      <x:c r="I268" s="10" t="str">
        <x:v>Inspect console/failed requests during each core journey.</x:v>
      </x:c>
      <x:c r="J268" s="10" t="str">
        <x:v>No unexplained runtime/hydration errors, broken requests or repetitive polling.</x:v>
      </x:c>
      <x:c r="K268" s="11" t="str"/>
      <x:c r="L268" s="11" t="str">
        <x:v>Not run</x:v>
      </x:c>
      <x:c r="M268" s="11" t="str"/>
      <x:c r="N268" s="11" t="str"/>
      <x:c r="O268" s="11" t="str"/>
      <x:c r="P268" s="11" t="str"/>
      <x:c r="Q268" s="11" t="str"/>
      <x:c r="R268" s="11" t="str"/>
      <x:c r="S268" s="10" t="str">
        <x:v>Browser + API + database</x:v>
      </x:c>
      <x:c r="T268" s="10" t="str">
        <x:v>Approved testing plan</x:v>
      </x:c>
      <x:c r="U268" s="10" t="str">
        <x:v>Reconcile tagged fixtures; archive/withdraw only owned test publications. Preserve audit/financial history.</x:v>
      </x:c>
      <x:c r="V268" s="12" t="str">
        <x:f>IF(A268="","",IF(L268="Not run","Pending",IF(OR(L268="Blocked",L268="Not deployed",L268="Not applicable"),IF(OR(K268="",R268=""),"Needs explanation","Recorded"),IF(OR(L268="Pass",L268="Fail"),IF(OR(K268="",M268="",P268=""),"Needs result/evidence/build","Recorded"),"Needs valid status"))))</x:f>
        <x:v>Pending</x:v>
      </x:c>
    </x:row>
    <x:row r="269" ht="52" customHeight="1">
      <x:c r="A269" s="10" t="str">
        <x:v>QA-0265</x:v>
      </x:c>
      <x:c r="B269" s="10" t="str">
        <x:v>R. UX and efficiency</x:v>
      </x:c>
      <x:c r="C269" s="10" t="str">
        <x:v>Measured performance</x:v>
      </x:c>
      <x:c r="D269" s="10" t="str">
        <x:v>All public/member/admin sections</x:v>
      </x:c>
      <x:c r="E269" s="10" t="str">
        <x:v>Technical tester</x:v>
      </x:c>
      <x:c r="F269" s="10" t="str">
        <x:v>P1</x:v>
      </x:c>
      <x:c r="G269" s="10" t="str">
        <x:v>Live - read-only</x:v>
      </x:c>
      <x:c r="H269" s="10" t="str">
        <x:v>Record deployed build. Use assigned test accounts, synthetic data and approved fixtures/recipients only.</x:v>
      </x:c>
      <x:c r="I269" s="10" t="str">
        <x:v>Record device/network/cache condition and repeat key public/member/admin loading and interaction samples.</x:v>
      </x:c>
      <x:c r="J269" s="10" t="str">
        <x:v>Compare with agreed targets; report distribution, not a single fast sample. Default review targets: LCP &lt;=2.5s, CLS &lt;=0.1, INP &lt;=200ms where measurable; lab is not field proof.</x:v>
      </x:c>
      <x:c r="K269" s="11" t="str"/>
      <x:c r="L269" s="11" t="str">
        <x:v>Not run</x:v>
      </x:c>
      <x:c r="M269" s="11" t="str"/>
      <x:c r="N269" s="11" t="str"/>
      <x:c r="O269" s="11" t="str"/>
      <x:c r="P269" s="11" t="str"/>
      <x:c r="Q269" s="11" t="str"/>
      <x:c r="R269" s="11" t="str"/>
      <x:c r="S269" s="10" t="str">
        <x:v>Browser + API + database</x:v>
      </x:c>
      <x:c r="T269" s="10" t="str">
        <x:v>Approved testing plan</x:v>
      </x:c>
      <x:c r="U269" s="10" t="str">
        <x:v>Reconcile tagged fixtures; archive/withdraw only owned test publications. Preserve audit/financial history.</x:v>
      </x:c>
      <x:c r="V269" s="12" t="str">
        <x:f>IF(A269="","",IF(L269="Not run","Pending",IF(OR(L269="Blocked",L269="Not deployed",L269="Not applicable"),IF(OR(K269="",R269=""),"Needs explanation","Recorded"),IF(OR(L269="Pass",L269="Fail"),IF(OR(K269="",M269="",P269=""),"Needs result/evidence/build","Recorded"),"Needs valid status"))))</x:f>
        <x:v>Pending</x:v>
      </x:c>
    </x:row>
    <x:row r="270" ht="52" customHeight="1">
      <x:c r="A270" s="10" t="str">
        <x:v>QA-0266</x:v>
      </x:c>
      <x:c r="B270" s="10" t="str">
        <x:v>R. UX and efficiency</x:v>
      </x:c>
      <x:c r="C270" s="10" t="str">
        <x:v>Concurrent capacity</x:v>
      </x:c>
      <x:c r="D270" s="10" t="str">
        <x:v>All public/member/admin sections</x:v>
      </x:c>
      <x:c r="E270" s="10" t="str">
        <x:v>Technical tester</x:v>
      </x:c>
      <x:c r="F270" s="10" t="str">
        <x:v>P1</x:v>
      </x:c>
      <x:c r="G270" s="10" t="str">
        <x:v>Isolated only</x:v>
      </x:c>
      <x:c r="H270" s="10" t="str">
        <x:v>Record deployed build. Use assigned test accounts, synthetic data and approved fixtures/recipients only.</x:v>
      </x:c>
      <x:c r="I270" s="10" t="str">
        <x:v>On isolated deployment run capped 5/10/25/50-user stages with representative mix, telemetry and owner budget.</x:v>
      </x:c>
      <x:c r="J270" s="10" t="str">
        <x:v>Record sustainable tested level; stop on leakage/corruption or sustained &gt;2% errors/p95&gt;5s. Proposed pass: &lt;1% unexpected errors, read p95&lt;1s/write p95&lt;2s; owner confirms targets before run.</x:v>
      </x:c>
      <x:c r="K270" s="11" t="str"/>
      <x:c r="L270" s="11" t="str">
        <x:v>Not run</x:v>
      </x:c>
      <x:c r="M270" s="11" t="str"/>
      <x:c r="N270" s="11" t="str"/>
      <x:c r="O270" s="11" t="str"/>
      <x:c r="P270" s="11" t="str"/>
      <x:c r="Q270" s="11" t="str"/>
      <x:c r="R270" s="11" t="str"/>
      <x:c r="S270" s="10" t="str">
        <x:v>Browser + API + database</x:v>
      </x:c>
      <x:c r="T270" s="10" t="str">
        <x:v>Approved testing plan</x:v>
      </x:c>
      <x:c r="U270" s="10" t="str">
        <x:v>Reconcile tagged fixtures; archive/withdraw only owned test publications. Preserve audit/financial history.</x:v>
      </x:c>
      <x:c r="V270" s="12" t="str">
        <x:f>IF(A270="","",IF(L270="Not run","Pending",IF(OR(L270="Blocked",L270="Not deployed",L270="Not applicable"),IF(OR(K270="",R270=""),"Needs explanation","Recorded"),IF(OR(L270="Pass",L270="Fail"),IF(OR(K270="",M270="",P270=""),"Needs result/evidence/build","Recorded"),"Needs valid status"))))</x:f>
        <x:v>Pending</x:v>
      </x:c>
    </x:row>
    <x:row r="271" ht="38" customHeight="1">
      <x:c r="A271" s="10" t="str">
        <x:v>QA-0267</x:v>
      </x:c>
      <x:c r="B271" s="10" t="str">
        <x:v>R. UX and efficiency</x:v>
      </x:c>
      <x:c r="C271" s="10" t="str">
        <x:v>Database performance</x:v>
      </x:c>
      <x:c r="D271" s="10" t="str">
        <x:v>All public/member/admin sections</x:v>
      </x:c>
      <x:c r="E271" s="10" t="str">
        <x:v>Technical tester</x:v>
      </x:c>
      <x:c r="F271" s="10" t="str">
        <x:v>P1</x:v>
      </x:c>
      <x:c r="G271" s="10" t="str">
        <x:v>Isolated only</x:v>
      </x:c>
      <x:c r="H271" s="10" t="str">
        <x:v>Record deployed build. Use assigned test accounts, synthetic data and approved fixtures/recipients only.</x:v>
      </x:c>
      <x:c r="I271" s="10" t="str">
        <x:v>Measure isolated query plans/N+1/pool wait/connections under representative load.</x:v>
      </x:c>
      <x:c r="J271" s="10" t="str">
        <x:v>Bottlenecks linked to queries and observed user impact, with no capacity claim from serial timing.</x:v>
      </x:c>
      <x:c r="K271" s="11" t="str"/>
      <x:c r="L271" s="11" t="str">
        <x:v>Not run</x:v>
      </x:c>
      <x:c r="M271" s="11" t="str"/>
      <x:c r="N271" s="11" t="str"/>
      <x:c r="O271" s="11" t="str"/>
      <x:c r="P271" s="11" t="str"/>
      <x:c r="Q271" s="11" t="str"/>
      <x:c r="R271" s="11" t="str"/>
      <x:c r="S271" s="10" t="str">
        <x:v>Browser + API + database</x:v>
      </x:c>
      <x:c r="T271" s="10" t="str">
        <x:v>Approved testing plan</x:v>
      </x:c>
      <x:c r="U271" s="10" t="str">
        <x:v>Reconcile tagged fixtures; archive/withdraw only owned test publications. Preserve audit/financial history.</x:v>
      </x:c>
      <x:c r="V271" s="12" t="str">
        <x:f>IF(A271="","",IF(L271="Not run","Pending",IF(OR(L271="Blocked",L271="Not deployed",L271="Not applicable"),IF(OR(K271="",R271=""),"Needs explanation","Recorded"),IF(OR(L271="Pass",L271="Fail"),IF(OR(K271="",M271="",P271=""),"Needs result/evidence/build","Recorded"),"Needs valid status"))))</x:f>
        <x:v>Pending</x:v>
      </x:c>
    </x:row>
    <x:row r="272" ht="38" customHeight="1">
      <x:c r="A272" s="10" t="str">
        <x:v>QA-0268</x:v>
      </x:c>
      <x:c r="B272" s="10" t="str">
        <x:v>R. UX and efficiency</x:v>
      </x:c>
      <x:c r="C272" s="10" t="str">
        <x:v>Worker backlog performance</x:v>
      </x:c>
      <x:c r="D272" s="10" t="str">
        <x:v>All public/member/admin sections</x:v>
      </x:c>
      <x:c r="E272" s="10" t="str">
        <x:v>Technical tester</x:v>
      </x:c>
      <x:c r="F272" s="10" t="str">
        <x:v>P1</x:v>
      </x:c>
      <x:c r="G272" s="10" t="str">
        <x:v>Isolated only</x:v>
      </x:c>
      <x:c r="H272" s="10" t="str">
        <x:v>Record deployed build. Use assigned test accounts, synthetic data and approved fixtures/recipients only.</x:v>
      </x:c>
      <x:c r="I272" s="10" t="str">
        <x:v>Measure isolated campaign/import backlog drain and transactional latency.</x:v>
      </x:c>
      <x:c r="J272" s="10" t="str">
        <x:v>Backlog/retry metrics and transactional priority meet owner-approved targets.</x:v>
      </x:c>
      <x:c r="K272" s="11" t="str"/>
      <x:c r="L272" s="11" t="str">
        <x:v>Not run</x:v>
      </x:c>
      <x:c r="M272" s="11" t="str"/>
      <x:c r="N272" s="11" t="str"/>
      <x:c r="O272" s="11" t="str"/>
      <x:c r="P272" s="11" t="str"/>
      <x:c r="Q272" s="11" t="str"/>
      <x:c r="R272" s="11" t="str"/>
      <x:c r="S272" s="10" t="str">
        <x:v>Browser + API + database</x:v>
      </x:c>
      <x:c r="T272" s="10" t="str">
        <x:v>Approved testing plan</x:v>
      </x:c>
      <x:c r="U272" s="10" t="str">
        <x:v>Reconcile tagged fixtures; archive/withdraw only owned test publications. Preserve audit/financial history.</x:v>
      </x:c>
      <x:c r="V272" s="12" t="str">
        <x:f>IF(A272="","",IF(L272="Not run","Pending",IF(OR(L272="Blocked",L272="Not deployed",L272="Not applicable"),IF(OR(K272="",R272=""),"Needs explanation","Recorded"),IF(OR(L272="Pass",L272="Fail"),IF(OR(K272="",M272="",P272=""),"Needs result/evidence/build","Recorded"),"Needs valid status"))))</x:f>
        <x:v>Pending</x:v>
      </x:c>
    </x:row>
    <x:row r="273" ht="38" customHeight="1">
      <x:c r="A273" s="10" t="str">
        <x:v>QA-0269</x:v>
      </x:c>
      <x:c r="B273" s="10" t="str">
        <x:v>R. UX and efficiency</x:v>
      </x:c>
      <x:c r="C273" s="10" t="str">
        <x:v>Task efficiency</x:v>
      </x:c>
      <x:c r="D273" s="10" t="str">
        <x:v>All public/member/admin sections</x:v>
      </x:c>
      <x:c r="E273" s="10" t="str">
        <x:v>Technical tester</x:v>
      </x:c>
      <x:c r="F273" s="10" t="str">
        <x:v>P1</x:v>
      </x:c>
      <x:c r="G273" s="10" t="str">
        <x:v>Live - read-only</x:v>
      </x:c>
      <x:c r="H273" s="10" t="str">
        <x:v>Record deployed build. Use assigned test accounts, synthetic data and approved fixtures/recipients only.</x:v>
      </x:c>
      <x:c r="I273" s="10" t="str">
        <x:v>Time signup/application/review/event setup/payment verification/campaign/export and count clicks/re-entry.</x:v>
      </x:c>
      <x:c r="J273" s="10" t="str">
        <x:v>Record observed friction, frequency and workaround, not assumed upgrades.</x:v>
      </x:c>
      <x:c r="K273" s="11" t="str"/>
      <x:c r="L273" s="11" t="str">
        <x:v>Not run</x:v>
      </x:c>
      <x:c r="M273" s="11" t="str"/>
      <x:c r="N273" s="11" t="str"/>
      <x:c r="O273" s="11" t="str"/>
      <x:c r="P273" s="11" t="str"/>
      <x:c r="Q273" s="11" t="str"/>
      <x:c r="R273" s="11" t="str"/>
      <x:c r="S273" s="10" t="str">
        <x:v>Browser + API + database</x:v>
      </x:c>
      <x:c r="T273" s="10" t="str">
        <x:v>Approved testing plan</x:v>
      </x:c>
      <x:c r="U273" s="10" t="str">
        <x:v>Reconcile tagged fixtures; archive/withdraw only owned test publications. Preserve audit/financial history.</x:v>
      </x:c>
      <x:c r="V273" s="12" t="str">
        <x:f>IF(A273="","",IF(L273="Not run","Pending",IF(OR(L273="Blocked",L273="Not deployed",L273="Not applicable"),IF(OR(K273="",R273=""),"Needs explanation","Recorded"),IF(OR(L273="Pass",L273="Fail"),IF(OR(K273="",M273="",P273=""),"Needs result/evidence/build","Recorded"),"Needs valid status"))))</x:f>
        <x:v>Pending</x:v>
      </x:c>
    </x:row>
    <x:row r="274" ht="38" customHeight="1">
      <x:c r="A274" s="10" t="str">
        <x:v>QA-0270</x:v>
      </x:c>
      <x:c r="B274" s="10" t="str">
        <x:v>R. UX and efficiency</x:v>
      </x:c>
      <x:c r="C274" s="10" t="str">
        <x:v>Upgrade assessment</x:v>
      </x:c>
      <x:c r="D274" s="10" t="str">
        <x:v>All public/member/admin sections</x:v>
      </x:c>
      <x:c r="E274" s="10" t="str">
        <x:v>Technical tester</x:v>
      </x:c>
      <x:c r="F274" s="10" t="str">
        <x:v>P1</x:v>
      </x:c>
      <x:c r="G274" s="10" t="str">
        <x:v>Live - read-only</x:v>
      </x:c>
      <x:c r="H274" s="10" t="str">
        <x:v>Record deployed build. Use assigned test accounts, synthetic data and approved fixtures/recipients only.</x:v>
      </x:c>
      <x:c r="I274" s="10" t="str">
        <x:v>For observed friction add UX and Upgrades entry with evidence, benefit, effort and dependencies.</x:v>
      </x:c>
      <x:c r="J274" s="10" t="str">
        <x:v>Recommendation is separate from defect and tied to measurable improvement.</x:v>
      </x:c>
      <x:c r="K274" s="11" t="str"/>
      <x:c r="L274" s="11" t="str">
        <x:v>Not run</x:v>
      </x:c>
      <x:c r="M274" s="11" t="str"/>
      <x:c r="N274" s="11" t="str"/>
      <x:c r="O274" s="11" t="str"/>
      <x:c r="P274" s="11" t="str"/>
      <x:c r="Q274" s="11" t="str"/>
      <x:c r="R274" s="11" t="str"/>
      <x:c r="S274" s="10" t="str">
        <x:v>Browser + API + database</x:v>
      </x:c>
      <x:c r="T274" s="10" t="str">
        <x:v>Approved testing plan</x:v>
      </x:c>
      <x:c r="U274" s="10" t="str">
        <x:v>Reconcile tagged fixtures; archive/withdraw only owned test publications. Preserve audit/financial history.</x:v>
      </x:c>
      <x:c r="V274" s="12" t="str">
        <x:f>IF(A274="","",IF(L274="Not run","Pending",IF(OR(L274="Blocked",L274="Not deployed",L274="Not applicable"),IF(OR(K274="",R274=""),"Needs explanation","Recorded"),IF(OR(L274="Pass",L274="Fail"),IF(OR(K274="",M274="",P274=""),"Needs result/evidence/build","Recorded"),"Needs valid status"))))</x:f>
        <x:v>Pending</x:v>
      </x:c>
    </x:row>
    <x:row r="275" ht="38" customHeight="1">
      <x:c r="A275" s="10" t="str">
        <x:v>QA-0271</x:v>
      </x:c>
      <x:c r="B275" s="10" t="str">
        <x:v>S. Route coverage</x:v>
      </x:c>
      <x:c r="C275" s="10" t="str">
        <x:v>Route entry: /about</x:v>
      </x:c>
      <x:c r="D275" s="10" t="str">
        <x:v>/about</x:v>
      </x:c>
      <x:c r="E275" s="10" t="str">
        <x:v>Anonymous / intended audience</x:v>
      </x:c>
      <x:c r="F275" s="10" t="str">
        <x:v>P1</x:v>
      </x:c>
      <x:c r="G275" s="10" t="str">
        <x:v>Live - read-only</x:v>
      </x:c>
      <x:c r="H275" s="10" t="str">
        <x:v>Record deployed build. Use assigned test accounts, synthetic data and approved fixtures/recipients only.</x:v>
      </x:c>
      <x:c r="I275" s="10" t="str">
        <x:v>Use a known owned QA ID for dynamic segments. Open /about directly and through navigation; reload, use Back and compare intended audience/publication.</x:v>
      </x:c>
      <x:c r="J275" s="10" t="str">
        <x:v>Correct page/item/state and navigation; no private leakage. Record Not deployed or Not applicable with explanation for absent capabilities.</x:v>
      </x:c>
      <x:c r="K275" s="11" t="str"/>
      <x:c r="L275" s="11" t="str">
        <x:v>Not run</x:v>
      </x:c>
      <x:c r="M275" s="11" t="str"/>
      <x:c r="N275" s="11" t="str"/>
      <x:c r="O275" s="11" t="str"/>
      <x:c r="P275" s="11" t="str"/>
      <x:c r="Q275" s="11" t="str"/>
      <x:c r="R275" s="11" t="str"/>
      <x:c r="S275" s="10" t="str">
        <x:v>Browser screenshot + network</x:v>
      </x:c>
      <x:c r="T275" s="10" t="str">
        <x:v>src/app/[page]/page.tsx</x:v>
      </x:c>
      <x:c r="U275" s="10" t="str">
        <x:v>Reconcile tagged fixtures; archive/withdraw only owned test publications. Preserve audit/financial history.</x:v>
      </x:c>
      <x:c r="V275" s="12" t="str">
        <x:f>IF(A275="","",IF(L275="Not run","Pending",IF(OR(L275="Blocked",L275="Not deployed",L275="Not applicable"),IF(OR(K275="",R275=""),"Needs explanation","Recorded"),IF(OR(L275="Pass",L275="Fail"),IF(OR(K275="",M275="",P275=""),"Needs result/evidence/build","Recorded"),"Needs valid status"))))</x:f>
        <x:v>Pending</x:v>
      </x:c>
    </x:row>
    <x:row r="276" ht="38" customHeight="1">
      <x:c r="A276" s="10" t="str">
        <x:v>QA-0272</x:v>
      </x:c>
      <x:c r="B276" s="10" t="str">
        <x:v>S. Route coverage</x:v>
      </x:c>
      <x:c r="C276" s="10" t="str">
        <x:v>Route entry: /governance</x:v>
      </x:c>
      <x:c r="D276" s="10" t="str">
        <x:v>/governance</x:v>
      </x:c>
      <x:c r="E276" s="10" t="str">
        <x:v>Anonymous / intended audience</x:v>
      </x:c>
      <x:c r="F276" s="10" t="str">
        <x:v>P1</x:v>
      </x:c>
      <x:c r="G276" s="10" t="str">
        <x:v>Live - read-only</x:v>
      </x:c>
      <x:c r="H276" s="10" t="str">
        <x:v>Record deployed build. Use assigned test accounts, synthetic data and approved fixtures/recipients only.</x:v>
      </x:c>
      <x:c r="I276" s="10" t="str">
        <x:v>Use a known owned QA ID for dynamic segments. Open /governance directly and through navigation; reload, use Back and compare intended audience/publication.</x:v>
      </x:c>
      <x:c r="J276" s="10" t="str">
        <x:v>Correct page/item/state and navigation; no private leakage. Record Not deployed or Not applicable with explanation for absent capabilities.</x:v>
      </x:c>
      <x:c r="K276" s="11" t="str"/>
      <x:c r="L276" s="11" t="str">
        <x:v>Not run</x:v>
      </x:c>
      <x:c r="M276" s="11" t="str"/>
      <x:c r="N276" s="11" t="str"/>
      <x:c r="O276" s="11" t="str"/>
      <x:c r="P276" s="11" t="str"/>
      <x:c r="Q276" s="11" t="str"/>
      <x:c r="R276" s="11" t="str"/>
      <x:c r="S276" s="10" t="str">
        <x:v>Browser screenshot + network</x:v>
      </x:c>
      <x:c r="T276" s="10" t="str">
        <x:v>src/app/[page]/page.tsx</x:v>
      </x:c>
      <x:c r="U276" s="10" t="str">
        <x:v>Reconcile tagged fixtures; archive/withdraw only owned test publications. Preserve audit/financial history.</x:v>
      </x:c>
      <x:c r="V276" s="12" t="str">
        <x:f>IF(A276="","",IF(L276="Not run","Pending",IF(OR(L276="Blocked",L276="Not deployed",L276="Not applicable"),IF(OR(K276="",R276=""),"Needs explanation","Recorded"),IF(OR(L276="Pass",L276="Fail"),IF(OR(K276="",M276="",P276=""),"Needs result/evidence/build","Recorded"),"Needs valid status"))))</x:f>
        <x:v>Pending</x:v>
      </x:c>
    </x:row>
    <x:row r="277" ht="38" customHeight="1">
      <x:c r="A277" s="10" t="str">
        <x:v>QA-0273</x:v>
      </x:c>
      <x:c r="B277" s="10" t="str">
        <x:v>S. Route coverage</x:v>
      </x:c>
      <x:c r="C277" s="10" t="str">
        <x:v>Route entry: /membership</x:v>
      </x:c>
      <x:c r="D277" s="10" t="str">
        <x:v>/membership</x:v>
      </x:c>
      <x:c r="E277" s="10" t="str">
        <x:v>Member or own account</x:v>
      </x:c>
      <x:c r="F277" s="10" t="str">
        <x:v>P1</x:v>
      </x:c>
      <x:c r="G277" s="10" t="str">
        <x:v>Live - read-only</x:v>
      </x:c>
      <x:c r="H277" s="10" t="str">
        <x:v>Record deployed build. Use assigned test accounts, synthetic data and approved fixtures/recipients only.</x:v>
      </x:c>
      <x:c r="I277" s="10" t="str">
        <x:v>Use a known owned QA ID for dynamic segments. Open /membership directly and through navigation; reload, use Back and compare intended audience/publication.</x:v>
      </x:c>
      <x:c r="J277" s="10" t="str">
        <x:v>Correct page/item/state and navigation; no private leakage. Record Not deployed or Not applicable with explanation for absent capabilities.</x:v>
      </x:c>
      <x:c r="K277" s="11" t="str"/>
      <x:c r="L277" s="11" t="str">
        <x:v>Not run</x:v>
      </x:c>
      <x:c r="M277" s="11" t="str"/>
      <x:c r="N277" s="11" t="str"/>
      <x:c r="O277" s="11" t="str"/>
      <x:c r="P277" s="11" t="str"/>
      <x:c r="Q277" s="11" t="str"/>
      <x:c r="R277" s="11" t="str"/>
      <x:c r="S277" s="10" t="str">
        <x:v>Browser screenshot + network</x:v>
      </x:c>
      <x:c r="T277" s="10" t="str">
        <x:v>src/app/[page]/page.tsx</x:v>
      </x:c>
      <x:c r="U277" s="10" t="str">
        <x:v>Reconcile tagged fixtures; archive/withdraw only owned test publications. Preserve audit/financial history.</x:v>
      </x:c>
      <x:c r="V277" s="12" t="str">
        <x:f>IF(A277="","",IF(L277="Not run","Pending",IF(OR(L277="Blocked",L277="Not deployed",L277="Not applicable"),IF(OR(K277="",R277=""),"Needs explanation","Recorded"),IF(OR(L277="Pass",L277="Fail"),IF(OR(K277="",M277="",P277=""),"Needs result/evidence/build","Recorded"),"Needs valid status"))))</x:f>
        <x:v>Pending</x:v>
      </x:c>
    </x:row>
    <x:row r="278" ht="38" customHeight="1">
      <x:c r="A278" s="10" t="str">
        <x:v>QA-0274</x:v>
      </x:c>
      <x:c r="B278" s="10" t="str">
        <x:v>S. Route coverage</x:v>
      </x:c>
      <x:c r="C278" s="10" t="str">
        <x:v>Route entry: /events</x:v>
      </x:c>
      <x:c r="D278" s="10" t="str">
        <x:v>/events</x:v>
      </x:c>
      <x:c r="E278" s="10" t="str">
        <x:v>Anonymous / intended audience</x:v>
      </x:c>
      <x:c r="F278" s="10" t="str">
        <x:v>P1</x:v>
      </x:c>
      <x:c r="G278" s="10" t="str">
        <x:v>Live - read-only</x:v>
      </x:c>
      <x:c r="H278" s="10" t="str">
        <x:v>Record deployed build. Use assigned test accounts, synthetic data and approved fixtures/recipients only.</x:v>
      </x:c>
      <x:c r="I278" s="10" t="str">
        <x:v>Use a known owned QA ID for dynamic segments. Open /events directly and through navigation; reload, use Back and compare intended audience/publication.</x:v>
      </x:c>
      <x:c r="J278" s="10" t="str">
        <x:v>Correct page/item/state and navigation; no private leakage. Record Not deployed or Not applicable with explanation for absent capabilities.</x:v>
      </x:c>
      <x:c r="K278" s="11" t="str"/>
      <x:c r="L278" s="11" t="str">
        <x:v>Not run</x:v>
      </x:c>
      <x:c r="M278" s="11" t="str"/>
      <x:c r="N278" s="11" t="str"/>
      <x:c r="O278" s="11" t="str"/>
      <x:c r="P278" s="11" t="str"/>
      <x:c r="Q278" s="11" t="str"/>
      <x:c r="R278" s="11" t="str"/>
      <x:c r="S278" s="10" t="str">
        <x:v>Browser screenshot + network</x:v>
      </x:c>
      <x:c r="T278" s="10" t="str">
        <x:v>src/app/[page]/page.tsx</x:v>
      </x:c>
      <x:c r="U278" s="10" t="str">
        <x:v>Reconcile tagged fixtures; archive/withdraw only owned test publications. Preserve audit/financial history.</x:v>
      </x:c>
      <x:c r="V278" s="12" t="str">
        <x:f>IF(A278="","",IF(L278="Not run","Pending",IF(OR(L278="Blocked",L278="Not deployed",L278="Not applicable"),IF(OR(K278="",R278=""),"Needs explanation","Recorded"),IF(OR(L278="Pass",L278="Fail"),IF(OR(K278="",M278="",P278=""),"Needs result/evidence/build","Recorded"),"Needs valid status"))))</x:f>
        <x:v>Pending</x:v>
      </x:c>
    </x:row>
    <x:row r="279" ht="38" customHeight="1">
      <x:c r="A279" s="10" t="str">
        <x:v>QA-0275</x:v>
      </x:c>
      <x:c r="B279" s="10" t="str">
        <x:v>S. Route coverage</x:v>
      </x:c>
      <x:c r="C279" s="10" t="str">
        <x:v>Route entry: /resources</x:v>
      </x:c>
      <x:c r="D279" s="10" t="str">
        <x:v>/resources</x:v>
      </x:c>
      <x:c r="E279" s="10" t="str">
        <x:v>Anonymous / intended audience</x:v>
      </x:c>
      <x:c r="F279" s="10" t="str">
        <x:v>P1</x:v>
      </x:c>
      <x:c r="G279" s="10" t="str">
        <x:v>Live - read-only</x:v>
      </x:c>
      <x:c r="H279" s="10" t="str">
        <x:v>Record deployed build. Use assigned test accounts, synthetic data and approved fixtures/recipients only.</x:v>
      </x:c>
      <x:c r="I279" s="10" t="str">
        <x:v>Use a known owned QA ID for dynamic segments. Open /resources directly and through navigation; reload, use Back and compare intended audience/publication.</x:v>
      </x:c>
      <x:c r="J279" s="10" t="str">
        <x:v>Correct page/item/state and navigation; no private leakage. Record Not deployed or Not applicable with explanation for absent capabilities.</x:v>
      </x:c>
      <x:c r="K279" s="11" t="str"/>
      <x:c r="L279" s="11" t="str">
        <x:v>Not run</x:v>
      </x:c>
      <x:c r="M279" s="11" t="str"/>
      <x:c r="N279" s="11" t="str"/>
      <x:c r="O279" s="11" t="str"/>
      <x:c r="P279" s="11" t="str"/>
      <x:c r="Q279" s="11" t="str"/>
      <x:c r="R279" s="11" t="str"/>
      <x:c r="S279" s="10" t="str">
        <x:v>Browser screenshot + network</x:v>
      </x:c>
      <x:c r="T279" s="10" t="str">
        <x:v>src/app/[page]/page.tsx</x:v>
      </x:c>
      <x:c r="U279" s="10" t="str">
        <x:v>Reconcile tagged fixtures; archive/withdraw only owned test publications. Preserve audit/financial history.</x:v>
      </x:c>
      <x:c r="V279" s="12" t="str">
        <x:f>IF(A279="","",IF(L279="Not run","Pending",IF(OR(L279="Blocked",L279="Not deployed",L279="Not applicable"),IF(OR(K279="",R279=""),"Needs explanation","Recorded"),IF(OR(L279="Pass",L279="Fail"),IF(OR(K279="",M279="",P279=""),"Needs result/evidence/build","Recorded"),"Needs valid status"))))</x:f>
        <x:v>Pending</x:v>
      </x:c>
    </x:row>
    <x:row r="280" ht="38" customHeight="1">
      <x:c r="A280" s="10" t="str">
        <x:v>QA-0276</x:v>
      </x:c>
      <x:c r="B280" s="10" t="str">
        <x:v>S. Route coverage</x:v>
      </x:c>
      <x:c r="C280" s="10" t="str">
        <x:v>Route entry: /contact</x:v>
      </x:c>
      <x:c r="D280" s="10" t="str">
        <x:v>/contact</x:v>
      </x:c>
      <x:c r="E280" s="10" t="str">
        <x:v>Anonymous / intended audience</x:v>
      </x:c>
      <x:c r="F280" s="10" t="str">
        <x:v>P1</x:v>
      </x:c>
      <x:c r="G280" s="10" t="str">
        <x:v>Live - read-only</x:v>
      </x:c>
      <x:c r="H280" s="10" t="str">
        <x:v>Record deployed build. Use assigned test accounts, synthetic data and approved fixtures/recipients only.</x:v>
      </x:c>
      <x:c r="I280" s="10" t="str">
        <x:v>Use a known owned QA ID for dynamic segments. Open /contact directly and through navigation; reload, use Back and compare intended audience/publication.</x:v>
      </x:c>
      <x:c r="J280" s="10" t="str">
        <x:v>Correct page/item/state and navigation; no private leakage. Record Not deployed or Not applicable with explanation for absent capabilities.</x:v>
      </x:c>
      <x:c r="K280" s="11" t="str"/>
      <x:c r="L280" s="11" t="str">
        <x:v>Not run</x:v>
      </x:c>
      <x:c r="M280" s="11" t="str"/>
      <x:c r="N280" s="11" t="str"/>
      <x:c r="O280" s="11" t="str"/>
      <x:c r="P280" s="11" t="str"/>
      <x:c r="Q280" s="11" t="str"/>
      <x:c r="R280" s="11" t="str"/>
      <x:c r="S280" s="10" t="str">
        <x:v>Browser screenshot + network</x:v>
      </x:c>
      <x:c r="T280" s="10" t="str">
        <x:v>src/app/[page]/page.tsx</x:v>
      </x:c>
      <x:c r="U280" s="10" t="str">
        <x:v>Reconcile tagged fixtures; archive/withdraw only owned test publications. Preserve audit/financial history.</x:v>
      </x:c>
      <x:c r="V280" s="12" t="str">
        <x:f>IF(A280="","",IF(L280="Not run","Pending",IF(OR(L280="Blocked",L280="Not deployed",L280="Not applicable"),IF(OR(K280="",R280=""),"Needs explanation","Recorded"),IF(OR(L280="Pass",L280="Fail"),IF(OR(K280="",M280="",P280=""),"Needs result/evidence/build","Recorded"),"Needs valid status"))))</x:f>
        <x:v>Pending</x:v>
      </x:c>
    </x:row>
    <x:row r="281" ht="38" customHeight="1">
      <x:c r="A281" s="10" t="str">
        <x:v>QA-0277</x:v>
      </x:c>
      <x:c r="B281" s="10" t="str">
        <x:v>S. Route coverage</x:v>
      </x:c>
      <x:c r="C281" s="10" t="str">
        <x:v>Route entry: /account</x:v>
      </x:c>
      <x:c r="D281" s="10" t="str">
        <x:v>/account</x:v>
      </x:c>
      <x:c r="E281" s="10" t="str">
        <x:v>Member or own account</x:v>
      </x:c>
      <x:c r="F281" s="10" t="str">
        <x:v>P1</x:v>
      </x:c>
      <x:c r="G281" s="10" t="str">
        <x:v>Live - read-only</x:v>
      </x:c>
      <x:c r="H281" s="10" t="str">
        <x:v>Record deployed build. Use assigned test accounts, synthetic data and approved fixtures/recipients only.</x:v>
      </x:c>
      <x:c r="I281" s="10" t="str">
        <x:v>Use a known owned QA ID for dynamic segments. Open /account directly and through navigation; reload, use Back and compare intended audience/publication.</x:v>
      </x:c>
      <x:c r="J281" s="10" t="str">
        <x:v>Correct page/item/state and navigation; no private leakage. Record Not deployed or Not applicable with explanation for absent capabilities.</x:v>
      </x:c>
      <x:c r="K281" s="11" t="str"/>
      <x:c r="L281" s="11" t="str">
        <x:v>Not run</x:v>
      </x:c>
      <x:c r="M281" s="11" t="str"/>
      <x:c r="N281" s="11" t="str"/>
      <x:c r="O281" s="11" t="str"/>
      <x:c r="P281" s="11" t="str"/>
      <x:c r="Q281" s="11" t="str"/>
      <x:c r="R281" s="11" t="str"/>
      <x:c r="S281" s="10" t="str">
        <x:v>Browser screenshot + network</x:v>
      </x:c>
      <x:c r="T281" s="10" t="str">
        <x:v>src/app/account/page.tsx</x:v>
      </x:c>
      <x:c r="U281" s="10" t="str">
        <x:v>Reconcile tagged fixtures; archive/withdraw only owned test publications. Preserve audit/financial history.</x:v>
      </x:c>
      <x:c r="V281" s="12" t="str">
        <x:f>IF(A281="","",IF(L281="Not run","Pending",IF(OR(L281="Blocked",L281="Not deployed",L281="Not applicable"),IF(OR(K281="",R281=""),"Needs explanation","Recorded"),IF(OR(L281="Pass",L281="Fail"),IF(OR(K281="",M281="",P281=""),"Needs result/evidence/build","Recorded"),"Needs valid status"))))</x:f>
        <x:v>Pending</x:v>
      </x:c>
    </x:row>
    <x:row r="282" ht="38" customHeight="1">
      <x:c r="A282" s="10" t="str">
        <x:v>QA-0278</x:v>
      </x:c>
      <x:c r="B282" s="10" t="str">
        <x:v>S. Route coverage</x:v>
      </x:c>
      <x:c r="C282" s="10" t="str">
        <x:v>Route entry: /account/profile</x:v>
      </x:c>
      <x:c r="D282" s="10" t="str">
        <x:v>/account/profile</x:v>
      </x:c>
      <x:c r="E282" s="10" t="str">
        <x:v>Member or own account</x:v>
      </x:c>
      <x:c r="F282" s="10" t="str">
        <x:v>P1</x:v>
      </x:c>
      <x:c r="G282" s="10" t="str">
        <x:v>Live - read-only</x:v>
      </x:c>
      <x:c r="H282" s="10" t="str">
        <x:v>Record deployed build. Use assigned test accounts, synthetic data and approved fixtures/recipients only.</x:v>
      </x:c>
      <x:c r="I282" s="10" t="str">
        <x:v>Use a known owned QA ID for dynamic segments. Open /account/profile directly and through navigation; reload, use Back and compare intended audience/publication.</x:v>
      </x:c>
      <x:c r="J282" s="10" t="str">
        <x:v>Correct page/item/state and navigation; no private leakage. Record Not deployed or Not applicable with explanation for absent capabilities.</x:v>
      </x:c>
      <x:c r="K282" s="11" t="str"/>
      <x:c r="L282" s="11" t="str">
        <x:v>Not run</x:v>
      </x:c>
      <x:c r="M282" s="11" t="str"/>
      <x:c r="N282" s="11" t="str"/>
      <x:c r="O282" s="11" t="str"/>
      <x:c r="P282" s="11" t="str"/>
      <x:c r="Q282" s="11" t="str"/>
      <x:c r="R282" s="11" t="str"/>
      <x:c r="S282" s="10" t="str">
        <x:v>Browser screenshot + network</x:v>
      </x:c>
      <x:c r="T282" s="10" t="str">
        <x:v>src/app/account/profile/page.tsx</x:v>
      </x:c>
      <x:c r="U282" s="10" t="str">
        <x:v>Reconcile tagged fixtures; archive/withdraw only owned test publications. Preserve audit/financial history.</x:v>
      </x:c>
      <x:c r="V282" s="12" t="str">
        <x:f>IF(A282="","",IF(L282="Not run","Pending",IF(OR(L282="Blocked",L282="Not deployed",L282="Not applicable"),IF(OR(K282="",R282=""),"Needs explanation","Recorded"),IF(OR(L282="Pass",L282="Fail"),IF(OR(K282="",M282="",P282=""),"Needs result/evidence/build","Recorded"),"Needs valid status"))))</x:f>
        <x:v>Pending</x:v>
      </x:c>
    </x:row>
    <x:row r="283" ht="38" customHeight="1">
      <x:c r="A283" s="10" t="str">
        <x:v>QA-0279</x:v>
      </x:c>
      <x:c r="B283" s="10" t="str">
        <x:v>S. Route coverage</x:v>
      </x:c>
      <x:c r="C283" s="10" t="str">
        <x:v>Route entry: /admin/content/[id]</x:v>
      </x:c>
      <x:c r="D283" s="10" t="str">
        <x:v>/admin/content/[id]</x:v>
      </x:c>
      <x:c r="E283" s="10" t="str">
        <x:v>Authorized staff</x:v>
      </x:c>
      <x:c r="F283" s="10" t="str">
        <x:v>P1</x:v>
      </x:c>
      <x:c r="G283" s="10" t="str">
        <x:v>Live - read-only</x:v>
      </x:c>
      <x:c r="H283" s="10" t="str">
        <x:v>Record deployed build. Use assigned test accounts, synthetic data and approved fixtures/recipients only.</x:v>
      </x:c>
      <x:c r="I283" s="10" t="str">
        <x:v>Use a known owned QA ID for dynamic segments. Open /admin/content/[id] directly and through navigation; reload, use Back and compare intended audience/publication.</x:v>
      </x:c>
      <x:c r="J283" s="10" t="str">
        <x:v>Correct page/item/state and navigation; no private leakage. Record Not deployed or Not applicable with explanation for absent capabilities.</x:v>
      </x:c>
      <x:c r="K283" s="11" t="str"/>
      <x:c r="L283" s="11" t="str">
        <x:v>Not run</x:v>
      </x:c>
      <x:c r="M283" s="11" t="str"/>
      <x:c r="N283" s="11" t="str"/>
      <x:c r="O283" s="11" t="str"/>
      <x:c r="P283" s="11" t="str"/>
      <x:c r="Q283" s="11" t="str"/>
      <x:c r="R283" s="11" t="str"/>
      <x:c r="S283" s="10" t="str">
        <x:v>Browser screenshot + network</x:v>
      </x:c>
      <x:c r="T283" s="10" t="str">
        <x:v>src/app/admin/content/[id]/page.tsx</x:v>
      </x:c>
      <x:c r="U283" s="10" t="str">
        <x:v>Reconcile tagged fixtures; archive/withdraw only owned test publications. Preserve audit/financial history.</x:v>
      </x:c>
      <x:c r="V283" s="12" t="str">
        <x:f>IF(A283="","",IF(L283="Not run","Pending",IF(OR(L283="Blocked",L283="Not deployed",L283="Not applicable"),IF(OR(K283="",R283=""),"Needs explanation","Recorded"),IF(OR(L283="Pass",L283="Fail"),IF(OR(K283="",M283="",P283=""),"Needs result/evidence/build","Recorded"),"Needs valid status"))))</x:f>
        <x:v>Pending</x:v>
      </x:c>
    </x:row>
    <x:row r="284" ht="38" customHeight="1">
      <x:c r="A284" s="10" t="str">
        <x:v>QA-0280</x:v>
      </x:c>
      <x:c r="B284" s="10" t="str">
        <x:v>S. Route coverage</x:v>
      </x:c>
      <x:c r="C284" s="10" t="str">
        <x:v>Route entry: /admin</x:v>
      </x:c>
      <x:c r="D284" s="10" t="str">
        <x:v>/admin</x:v>
      </x:c>
      <x:c r="E284" s="10" t="str">
        <x:v>Authorized staff</x:v>
      </x:c>
      <x:c r="F284" s="10" t="str">
        <x:v>P1</x:v>
      </x:c>
      <x:c r="G284" s="10" t="str">
        <x:v>Live - read-only</x:v>
      </x:c>
      <x:c r="H284" s="10" t="str">
        <x:v>Record deployed build. Use assigned test accounts, synthetic data and approved fixtures/recipients only.</x:v>
      </x:c>
      <x:c r="I284" s="10" t="str">
        <x:v>Use a known owned QA ID for dynamic segments. Open /admin directly and through navigation; reload, use Back and compare intended audience/publication.</x:v>
      </x:c>
      <x:c r="J284" s="10" t="str">
        <x:v>Correct page/item/state and navigation; no private leakage. Record Not deployed or Not applicable with explanation for absent capabilities.</x:v>
      </x:c>
      <x:c r="K284" s="11" t="str"/>
      <x:c r="L284" s="11" t="str">
        <x:v>Not run</x:v>
      </x:c>
      <x:c r="M284" s="11" t="str"/>
      <x:c r="N284" s="11" t="str"/>
      <x:c r="O284" s="11" t="str"/>
      <x:c r="P284" s="11" t="str"/>
      <x:c r="Q284" s="11" t="str"/>
      <x:c r="R284" s="11" t="str"/>
      <x:c r="S284" s="10" t="str">
        <x:v>Browser screenshot + network</x:v>
      </x:c>
      <x:c r="T284" s="10" t="str">
        <x:v>src/app/admin/page.tsx</x:v>
      </x:c>
      <x:c r="U284" s="10" t="str">
        <x:v>Reconcile tagged fixtures; archive/withdraw only owned test publications. Preserve audit/financial history.</x:v>
      </x:c>
      <x:c r="V284" s="12" t="str">
        <x:f>IF(A284="","",IF(L284="Not run","Pending",IF(OR(L284="Blocked",L284="Not deployed",L284="Not applicable"),IF(OR(K284="",R284=""),"Needs explanation","Recorded"),IF(OR(L284="Pass",L284="Fail"),IF(OR(K284="",M284="",P284=""),"Needs result/evidence/build","Recorded"),"Needs valid status"))))</x:f>
        <x:v>Pending</x:v>
      </x:c>
    </x:row>
    <x:row r="285" ht="38" customHeight="1">
      <x:c r="A285" s="10" t="str">
        <x:v>QA-0281</x:v>
      </x:c>
      <x:c r="B285" s="10" t="str">
        <x:v>S. Route coverage</x:v>
      </x:c>
      <x:c r="C285" s="10" t="str">
        <x:v>Route entry: /admin/workspaces/members</x:v>
      </x:c>
      <x:c r="D285" s="10" t="str">
        <x:v>/admin/workspaces/members</x:v>
      </x:c>
      <x:c r="E285" s="10" t="str">
        <x:v>Authorized staff</x:v>
      </x:c>
      <x:c r="F285" s="10" t="str">
        <x:v>P1</x:v>
      </x:c>
      <x:c r="G285" s="10" t="str">
        <x:v>Live - read-only</x:v>
      </x:c>
      <x:c r="H285" s="10" t="str">
        <x:v>Record deployed build. Use assigned test accounts, synthetic data and approved fixtures/recipients only.</x:v>
      </x:c>
      <x:c r="I285" s="10" t="str">
        <x:v>Use a known owned QA ID for dynamic segments. Open /admin/workspaces/members directly and through navigation; reload, use Back and compare intended audience/publication.</x:v>
      </x:c>
      <x:c r="J285" s="10" t="str">
        <x:v>Correct page/item/state and navigation; no private leakage. Record Not deployed or Not applicable with explanation for absent capabilities.</x:v>
      </x:c>
      <x:c r="K285" s="11" t="str"/>
      <x:c r="L285" s="11" t="str">
        <x:v>Not run</x:v>
      </x:c>
      <x:c r="M285" s="11" t="str"/>
      <x:c r="N285" s="11" t="str"/>
      <x:c r="O285" s="11" t="str"/>
      <x:c r="P285" s="11" t="str"/>
      <x:c r="Q285" s="11" t="str"/>
      <x:c r="R285" s="11" t="str"/>
      <x:c r="S285" s="10" t="str">
        <x:v>Browser screenshot + network</x:v>
      </x:c>
      <x:c r="T285" s="10" t="str">
        <x:v>src/app/admin/workspaces/[workspace]/page.tsx</x:v>
      </x:c>
      <x:c r="U285" s="10" t="str">
        <x:v>Reconcile tagged fixtures; archive/withdraw only owned test publications. Preserve audit/financial history.</x:v>
      </x:c>
      <x:c r="V285" s="12" t="str">
        <x:f>IF(A285="","",IF(L285="Not run","Pending",IF(OR(L285="Blocked",L285="Not deployed",L285="Not applicable"),IF(OR(K285="",R285=""),"Needs explanation","Recorded"),IF(OR(L285="Pass",L285="Fail"),IF(OR(K285="",M285="",P285=""),"Needs result/evidence/build","Recorded"),"Needs valid status"))))</x:f>
        <x:v>Pending</x:v>
      </x:c>
    </x:row>
    <x:row r="286" ht="52" customHeight="1">
      <x:c r="A286" s="10" t="str">
        <x:v>QA-0282</x:v>
      </x:c>
      <x:c r="B286" s="10" t="str">
        <x:v>S. Route coverage</x:v>
      </x:c>
      <x:c r="C286" s="10" t="str">
        <x:v>Route entry: /admin/workspaces/verification</x:v>
      </x:c>
      <x:c r="D286" s="10" t="str">
        <x:v>/admin/workspaces/verification</x:v>
      </x:c>
      <x:c r="E286" s="10" t="str">
        <x:v>Authorized staff</x:v>
      </x:c>
      <x:c r="F286" s="10" t="str">
        <x:v>P1</x:v>
      </x:c>
      <x:c r="G286" s="10" t="str">
        <x:v>Live - read-only</x:v>
      </x:c>
      <x:c r="H286" s="10" t="str">
        <x:v>Record deployed build. Use assigned test accounts, synthetic data and approved fixtures/recipients only.</x:v>
      </x:c>
      <x:c r="I286" s="10" t="str">
        <x:v>Use a known owned QA ID for dynamic segments. Open /admin/workspaces/verification directly and through navigation; reload, use Back and compare intended audience/publication.</x:v>
      </x:c>
      <x:c r="J286" s="10" t="str">
        <x:v>Correct page/item/state and navigation; no private leakage. Record Not deployed or Not applicable with explanation for absent capabilities.</x:v>
      </x:c>
      <x:c r="K286" s="11" t="str"/>
      <x:c r="L286" s="11" t="str">
        <x:v>Not run</x:v>
      </x:c>
      <x:c r="M286" s="11" t="str"/>
      <x:c r="N286" s="11" t="str"/>
      <x:c r="O286" s="11" t="str"/>
      <x:c r="P286" s="11" t="str"/>
      <x:c r="Q286" s="11" t="str"/>
      <x:c r="R286" s="11" t="str"/>
      <x:c r="S286" s="10" t="str">
        <x:v>Browser screenshot + network</x:v>
      </x:c>
      <x:c r="T286" s="10" t="str">
        <x:v>src/app/admin/workspaces/[workspace]/page.tsx</x:v>
      </x:c>
      <x:c r="U286" s="10" t="str">
        <x:v>Reconcile tagged fixtures; archive/withdraw only owned test publications. Preserve audit/financial history.</x:v>
      </x:c>
      <x:c r="V286" s="12" t="str">
        <x:f>IF(A286="","",IF(L286="Not run","Pending",IF(OR(L286="Blocked",L286="Not deployed",L286="Not applicable"),IF(OR(K286="",R286=""),"Needs explanation","Recorded"),IF(OR(L286="Pass",L286="Fail"),IF(OR(K286="",M286="",P286=""),"Needs result/evidence/build","Recorded"),"Needs valid status"))))</x:f>
        <x:v>Pending</x:v>
      </x:c>
    </x:row>
    <x:row r="287" ht="52" customHeight="1">
      <x:c r="A287" s="10" t="str">
        <x:v>QA-0283</x:v>
      </x:c>
      <x:c r="B287" s="10" t="str">
        <x:v>S. Route coverage</x:v>
      </x:c>
      <x:c r="C287" s="10" t="str">
        <x:v>Route entry: /admin/workspaces/onboarding</x:v>
      </x:c>
      <x:c r="D287" s="10" t="str">
        <x:v>/admin/workspaces/onboarding</x:v>
      </x:c>
      <x:c r="E287" s="10" t="str">
        <x:v>Authorized staff</x:v>
      </x:c>
      <x:c r="F287" s="10" t="str">
        <x:v>P1</x:v>
      </x:c>
      <x:c r="G287" s="10" t="str">
        <x:v>Live - read-only</x:v>
      </x:c>
      <x:c r="H287" s="10" t="str">
        <x:v>Record deployed build. Use assigned test accounts, synthetic data and approved fixtures/recipients only.</x:v>
      </x:c>
      <x:c r="I287" s="10" t="str">
        <x:v>Use a known owned QA ID for dynamic segments. Open /admin/workspaces/onboarding directly and through navigation; reload, use Back and compare intended audience/publication.</x:v>
      </x:c>
      <x:c r="J287" s="10" t="str">
        <x:v>Correct page/item/state and navigation; no private leakage. Record Not deployed or Not applicable with explanation for absent capabilities.</x:v>
      </x:c>
      <x:c r="K287" s="11" t="str"/>
      <x:c r="L287" s="11" t="str">
        <x:v>Not run</x:v>
      </x:c>
      <x:c r="M287" s="11" t="str"/>
      <x:c r="N287" s="11" t="str"/>
      <x:c r="O287" s="11" t="str"/>
      <x:c r="P287" s="11" t="str"/>
      <x:c r="Q287" s="11" t="str"/>
      <x:c r="R287" s="11" t="str"/>
      <x:c r="S287" s="10" t="str">
        <x:v>Browser screenshot + network</x:v>
      </x:c>
      <x:c r="T287" s="10" t="str">
        <x:v>src/app/admin/workspaces/[workspace]/page.tsx</x:v>
      </x:c>
      <x:c r="U287" s="10" t="str">
        <x:v>Reconcile tagged fixtures; archive/withdraw only owned test publications. Preserve audit/financial history.</x:v>
      </x:c>
      <x:c r="V287" s="12" t="str">
        <x:f>IF(A287="","",IF(L287="Not run","Pending",IF(OR(L287="Blocked",L287="Not deployed",L287="Not applicable"),IF(OR(K287="",R287=""),"Needs explanation","Recorded"),IF(OR(L287="Pass",L287="Fail"),IF(OR(K287="",M287="",P287=""),"Needs result/evidence/build","Recorded"),"Needs valid status"))))</x:f>
        <x:v>Pending</x:v>
      </x:c>
    </x:row>
    <x:row r="288" ht="38" customHeight="1">
      <x:c r="A288" s="10" t="str">
        <x:v>QA-0284</x:v>
      </x:c>
      <x:c r="B288" s="10" t="str">
        <x:v>S. Route coverage</x:v>
      </x:c>
      <x:c r="C288" s="10" t="str">
        <x:v>Route entry: /admin/workspaces/crm</x:v>
      </x:c>
      <x:c r="D288" s="10" t="str">
        <x:v>/admin/workspaces/crm</x:v>
      </x:c>
      <x:c r="E288" s="10" t="str">
        <x:v>Authorized staff</x:v>
      </x:c>
      <x:c r="F288" s="10" t="str">
        <x:v>P1</x:v>
      </x:c>
      <x:c r="G288" s="10" t="str">
        <x:v>Live - read-only</x:v>
      </x:c>
      <x:c r="H288" s="10" t="str">
        <x:v>Record deployed build. Use assigned test accounts, synthetic data and approved fixtures/recipients only.</x:v>
      </x:c>
      <x:c r="I288" s="10" t="str">
        <x:v>Use a known owned QA ID for dynamic segments. Open /admin/workspaces/crm directly and through navigation; reload, use Back and compare intended audience/publication.</x:v>
      </x:c>
      <x:c r="J288" s="10" t="str">
        <x:v>Correct page/item/state and navigation; no private leakage. Record Not deployed or Not applicable with explanation for absent capabilities.</x:v>
      </x:c>
      <x:c r="K288" s="11" t="str"/>
      <x:c r="L288" s="11" t="str">
        <x:v>Not run</x:v>
      </x:c>
      <x:c r="M288" s="11" t="str"/>
      <x:c r="N288" s="11" t="str"/>
      <x:c r="O288" s="11" t="str"/>
      <x:c r="P288" s="11" t="str"/>
      <x:c r="Q288" s="11" t="str"/>
      <x:c r="R288" s="11" t="str"/>
      <x:c r="S288" s="10" t="str">
        <x:v>Browser screenshot + network</x:v>
      </x:c>
      <x:c r="T288" s="10" t="str">
        <x:v>src/app/admin/workspaces/[workspace]/page.tsx</x:v>
      </x:c>
      <x:c r="U288" s="10" t="str">
        <x:v>Reconcile tagged fixtures; archive/withdraw only owned test publications. Preserve audit/financial history.</x:v>
      </x:c>
      <x:c r="V288" s="12" t="str">
        <x:f>IF(A288="","",IF(L288="Not run","Pending",IF(OR(L288="Blocked",L288="Not deployed",L288="Not applicable"),IF(OR(K288="",R288=""),"Needs explanation","Recorded"),IF(OR(L288="Pass",L288="Fail"),IF(OR(K288="",M288="",P288=""),"Needs result/evidence/build","Recorded"),"Needs valid status"))))</x:f>
        <x:v>Pending</x:v>
      </x:c>
    </x:row>
    <x:row r="289" ht="52" customHeight="1">
      <x:c r="A289" s="10" t="str">
        <x:v>QA-0285</x:v>
      </x:c>
      <x:c r="B289" s="10" t="str">
        <x:v>S. Route coverage</x:v>
      </x:c>
      <x:c r="C289" s="10" t="str">
        <x:v>Route entry: /admin/workspaces/communications</x:v>
      </x:c>
      <x:c r="D289" s="10" t="str">
        <x:v>/admin/workspaces/communications</x:v>
      </x:c>
      <x:c r="E289" s="10" t="str">
        <x:v>Authorized staff</x:v>
      </x:c>
      <x:c r="F289" s="10" t="str">
        <x:v>P1</x:v>
      </x:c>
      <x:c r="G289" s="10" t="str">
        <x:v>Live - read-only</x:v>
      </x:c>
      <x:c r="H289" s="10" t="str">
        <x:v>Record deployed build. Use assigned test accounts, synthetic data and approved fixtures/recipients only.</x:v>
      </x:c>
      <x:c r="I289" s="10" t="str">
        <x:v>Use a known owned QA ID for dynamic segments. Open /admin/workspaces/communications directly and through navigation; reload, use Back and compare intended audience/publication.</x:v>
      </x:c>
      <x:c r="J289" s="10" t="str">
        <x:v>Correct page/item/state and navigation; no private leakage. Record Not deployed or Not applicable with explanation for absent capabilities.</x:v>
      </x:c>
      <x:c r="K289" s="11" t="str"/>
      <x:c r="L289" s="11" t="str">
        <x:v>Not run</x:v>
      </x:c>
      <x:c r="M289" s="11" t="str"/>
      <x:c r="N289" s="11" t="str"/>
      <x:c r="O289" s="11" t="str"/>
      <x:c r="P289" s="11" t="str"/>
      <x:c r="Q289" s="11" t="str"/>
      <x:c r="R289" s="11" t="str"/>
      <x:c r="S289" s="10" t="str">
        <x:v>Browser screenshot + network</x:v>
      </x:c>
      <x:c r="T289" s="10" t="str">
        <x:v>src/app/admin/workspaces/[workspace]/page.tsx</x:v>
      </x:c>
      <x:c r="U289" s="10" t="str">
        <x:v>Reconcile tagged fixtures; archive/withdraw only owned test publications. Preserve audit/financial history.</x:v>
      </x:c>
      <x:c r="V289" s="12" t="str">
        <x:f>IF(A289="","",IF(L289="Not run","Pending",IF(OR(L289="Blocked",L289="Not deployed",L289="Not applicable"),IF(OR(K289="",R289=""),"Needs explanation","Recorded"),IF(OR(L289="Pass",L289="Fail"),IF(OR(K289="",M289="",P289=""),"Needs result/evidence/build","Recorded"),"Needs valid status"))))</x:f>
        <x:v>Pending</x:v>
      </x:c>
    </x:row>
    <x:row r="290" ht="38" customHeight="1">
      <x:c r="A290" s="10" t="str">
        <x:v>QA-0286</x:v>
      </x:c>
      <x:c r="B290" s="10" t="str">
        <x:v>S. Route coverage</x:v>
      </x:c>
      <x:c r="C290" s="10" t="str">
        <x:v>Route entry: /admin/workspaces/events</x:v>
      </x:c>
      <x:c r="D290" s="10" t="str">
        <x:v>/admin/workspaces/events</x:v>
      </x:c>
      <x:c r="E290" s="10" t="str">
        <x:v>Authorized staff</x:v>
      </x:c>
      <x:c r="F290" s="10" t="str">
        <x:v>P1</x:v>
      </x:c>
      <x:c r="G290" s="10" t="str">
        <x:v>Live - read-only</x:v>
      </x:c>
      <x:c r="H290" s="10" t="str">
        <x:v>Record deployed build. Use assigned test accounts, synthetic data and approved fixtures/recipients only.</x:v>
      </x:c>
      <x:c r="I290" s="10" t="str">
        <x:v>Use a known owned QA ID for dynamic segments. Open /admin/workspaces/events directly and through navigation; reload, use Back and compare intended audience/publication.</x:v>
      </x:c>
      <x:c r="J290" s="10" t="str">
        <x:v>Correct page/item/state and navigation; no private leakage. Record Not deployed or Not applicable with explanation for absent capabilities.</x:v>
      </x:c>
      <x:c r="K290" s="11" t="str"/>
      <x:c r="L290" s="11" t="str">
        <x:v>Not run</x:v>
      </x:c>
      <x:c r="M290" s="11" t="str"/>
      <x:c r="N290" s="11" t="str"/>
      <x:c r="O290" s="11" t="str"/>
      <x:c r="P290" s="11" t="str"/>
      <x:c r="Q290" s="11" t="str"/>
      <x:c r="R290" s="11" t="str"/>
      <x:c r="S290" s="10" t="str">
        <x:v>Browser screenshot + network</x:v>
      </x:c>
      <x:c r="T290" s="10" t="str">
        <x:v>src/app/admin/workspaces/[workspace]/page.tsx</x:v>
      </x:c>
      <x:c r="U290" s="10" t="str">
        <x:v>Reconcile tagged fixtures; archive/withdraw only owned test publications. Preserve audit/financial history.</x:v>
      </x:c>
      <x:c r="V290" s="12" t="str">
        <x:f>IF(A290="","",IF(L290="Not run","Pending",IF(OR(L290="Blocked",L290="Not deployed",L290="Not applicable"),IF(OR(K290="",R290=""),"Needs explanation","Recorded"),IF(OR(L290="Pass",L290="Fail"),IF(OR(K290="",M290="",P290=""),"Needs result/evidence/build","Recorded"),"Needs valid status"))))</x:f>
        <x:v>Pending</x:v>
      </x:c>
    </x:row>
    <x:row r="291" ht="38" customHeight="1">
      <x:c r="A291" s="10" t="str">
        <x:v>QA-0287</x:v>
      </x:c>
      <x:c r="B291" s="10" t="str">
        <x:v>S. Route coverage</x:v>
      </x:c>
      <x:c r="C291" s="10" t="str">
        <x:v>Route entry: /admin/workspaces/flyers</x:v>
      </x:c>
      <x:c r="D291" s="10" t="str">
        <x:v>/admin/workspaces/flyers</x:v>
      </x:c>
      <x:c r="E291" s="10" t="str">
        <x:v>Authorized staff</x:v>
      </x:c>
      <x:c r="F291" s="10" t="str">
        <x:v>P1</x:v>
      </x:c>
      <x:c r="G291" s="10" t="str">
        <x:v>Live - read-only</x:v>
      </x:c>
      <x:c r="H291" s="10" t="str">
        <x:v>Record deployed build. Use assigned test accounts, synthetic data and approved fixtures/recipients only.</x:v>
      </x:c>
      <x:c r="I291" s="10" t="str">
        <x:v>Use a known owned QA ID for dynamic segments. Open /admin/workspaces/flyers directly and through navigation; reload, use Back and compare intended audience/publication.</x:v>
      </x:c>
      <x:c r="J291" s="10" t="str">
        <x:v>Correct page/item/state and navigation; no private leakage. Record Not deployed or Not applicable with explanation for absent capabilities.</x:v>
      </x:c>
      <x:c r="K291" s="11" t="str"/>
      <x:c r="L291" s="11" t="str">
        <x:v>Not run</x:v>
      </x:c>
      <x:c r="M291" s="11" t="str"/>
      <x:c r="N291" s="11" t="str"/>
      <x:c r="O291" s="11" t="str"/>
      <x:c r="P291" s="11" t="str"/>
      <x:c r="Q291" s="11" t="str"/>
      <x:c r="R291" s="11" t="str"/>
      <x:c r="S291" s="10" t="str">
        <x:v>Browser screenshot + network</x:v>
      </x:c>
      <x:c r="T291" s="10" t="str">
        <x:v>src/app/admin/workspaces/[workspace]/page.tsx</x:v>
      </x:c>
      <x:c r="U291" s="10" t="str">
        <x:v>Reconcile tagged fixtures; archive/withdraw only owned test publications. Preserve audit/financial history.</x:v>
      </x:c>
      <x:c r="V291" s="12" t="str">
        <x:f>IF(A291="","",IF(L291="Not run","Pending",IF(OR(L291="Blocked",L291="Not deployed",L291="Not applicable"),IF(OR(K291="",R291=""),"Needs explanation","Recorded"),IF(OR(L291="Pass",L291="Fail"),IF(OR(K291="",M291="",P291=""),"Needs result/evidence/build","Recorded"),"Needs valid status"))))</x:f>
        <x:v>Pending</x:v>
      </x:c>
    </x:row>
    <x:row r="292" ht="38" customHeight="1">
      <x:c r="A292" s="10" t="str">
        <x:v>QA-0288</x:v>
      </x:c>
      <x:c r="B292" s="10" t="str">
        <x:v>S. Route coverage</x:v>
      </x:c>
      <x:c r="C292" s="10" t="str">
        <x:v>Route entry: /admin/workspaces/imports</x:v>
      </x:c>
      <x:c r="D292" s="10" t="str">
        <x:v>/admin/workspaces/imports</x:v>
      </x:c>
      <x:c r="E292" s="10" t="str">
        <x:v>Authorized staff</x:v>
      </x:c>
      <x:c r="F292" s="10" t="str">
        <x:v>P1</x:v>
      </x:c>
      <x:c r="G292" s="10" t="str">
        <x:v>Live - read-only</x:v>
      </x:c>
      <x:c r="H292" s="10" t="str">
        <x:v>Record deployed build. Use assigned test accounts, synthetic data and approved fixtures/recipients only.</x:v>
      </x:c>
      <x:c r="I292" s="10" t="str">
        <x:v>Use a known owned QA ID for dynamic segments. Open /admin/workspaces/imports directly and through navigation; reload, use Back and compare intended audience/publication.</x:v>
      </x:c>
      <x:c r="J292" s="10" t="str">
        <x:v>Correct page/item/state and navigation; no private leakage. Record Not deployed or Not applicable with explanation for absent capabilities.</x:v>
      </x:c>
      <x:c r="K292" s="11" t="str"/>
      <x:c r="L292" s="11" t="str">
        <x:v>Not run</x:v>
      </x:c>
      <x:c r="M292" s="11" t="str"/>
      <x:c r="N292" s="11" t="str"/>
      <x:c r="O292" s="11" t="str"/>
      <x:c r="P292" s="11" t="str"/>
      <x:c r="Q292" s="11" t="str"/>
      <x:c r="R292" s="11" t="str"/>
      <x:c r="S292" s="10" t="str">
        <x:v>Browser screenshot + network</x:v>
      </x:c>
      <x:c r="T292" s="10" t="str">
        <x:v>src/app/admin/workspaces/[workspace]/page.tsx</x:v>
      </x:c>
      <x:c r="U292" s="10" t="str">
        <x:v>Reconcile tagged fixtures; archive/withdraw only owned test publications. Preserve audit/financial history.</x:v>
      </x:c>
      <x:c r="V292" s="12" t="str">
        <x:f>IF(A292="","",IF(L292="Not run","Pending",IF(OR(L292="Blocked",L292="Not deployed",L292="Not applicable"),IF(OR(K292="",R292=""),"Needs explanation","Recorded"),IF(OR(L292="Pass",L292="Fail"),IF(OR(K292="",M292="",P292=""),"Needs result/evidence/build","Recorded"),"Needs valid status"))))</x:f>
        <x:v>Pending</x:v>
      </x:c>
    </x:row>
    <x:row r="293" ht="38" customHeight="1">
      <x:c r="A293" s="10" t="str">
        <x:v>QA-0289</x:v>
      </x:c>
      <x:c r="B293" s="10" t="str">
        <x:v>S. Route coverage</x:v>
      </x:c>
      <x:c r="C293" s="10" t="str">
        <x:v>Route entry: /admin/workspaces/website</x:v>
      </x:c>
      <x:c r="D293" s="10" t="str">
        <x:v>/admin/workspaces/website</x:v>
      </x:c>
      <x:c r="E293" s="10" t="str">
        <x:v>Authorized staff</x:v>
      </x:c>
      <x:c r="F293" s="10" t="str">
        <x:v>P1</x:v>
      </x:c>
      <x:c r="G293" s="10" t="str">
        <x:v>Live - read-only</x:v>
      </x:c>
      <x:c r="H293" s="10" t="str">
        <x:v>Record deployed build. Use assigned test accounts, synthetic data and approved fixtures/recipients only.</x:v>
      </x:c>
      <x:c r="I293" s="10" t="str">
        <x:v>Use a known owned QA ID for dynamic segments. Open /admin/workspaces/website directly and through navigation; reload, use Back and compare intended audience/publication.</x:v>
      </x:c>
      <x:c r="J293" s="10" t="str">
        <x:v>Correct page/item/state and navigation; no private leakage. Record Not deployed or Not applicable with explanation for absent capabilities.</x:v>
      </x:c>
      <x:c r="K293" s="11" t="str"/>
      <x:c r="L293" s="11" t="str">
        <x:v>Not run</x:v>
      </x:c>
      <x:c r="M293" s="11" t="str"/>
      <x:c r="N293" s="11" t="str"/>
      <x:c r="O293" s="11" t="str"/>
      <x:c r="P293" s="11" t="str"/>
      <x:c r="Q293" s="11" t="str"/>
      <x:c r="R293" s="11" t="str"/>
      <x:c r="S293" s="10" t="str">
        <x:v>Browser screenshot + network</x:v>
      </x:c>
      <x:c r="T293" s="10" t="str">
        <x:v>src/app/admin/workspaces/[workspace]/page.tsx</x:v>
      </x:c>
      <x:c r="U293" s="10" t="str">
        <x:v>Reconcile tagged fixtures; archive/withdraw only owned test publications. Preserve audit/financial history.</x:v>
      </x:c>
      <x:c r="V293" s="12" t="str">
        <x:f>IF(A293="","",IF(L293="Not run","Pending",IF(OR(L293="Blocked",L293="Not deployed",L293="Not applicable"),IF(OR(K293="",R293=""),"Needs explanation","Recorded"),IF(OR(L293="Pass",L293="Fail"),IF(OR(K293="",M293="",P293=""),"Needs result/evidence/build","Recorded"),"Needs valid status"))))</x:f>
        <x:v>Pending</x:v>
      </x:c>
    </x:row>
    <x:row r="294" ht="38" customHeight="1">
      <x:c r="A294" s="10" t="str">
        <x:v>QA-0290</x:v>
      </x:c>
      <x:c r="B294" s="10" t="str">
        <x:v>S. Route coverage</x:v>
      </x:c>
      <x:c r="C294" s="10" t="str">
        <x:v>Route entry: /admin/workspaces/content</x:v>
      </x:c>
      <x:c r="D294" s="10" t="str">
        <x:v>/admin/workspaces/content</x:v>
      </x:c>
      <x:c r="E294" s="10" t="str">
        <x:v>Authorized staff</x:v>
      </x:c>
      <x:c r="F294" s="10" t="str">
        <x:v>P1</x:v>
      </x:c>
      <x:c r="G294" s="10" t="str">
        <x:v>Live - read-only</x:v>
      </x:c>
      <x:c r="H294" s="10" t="str">
        <x:v>Record deployed build. Use assigned test accounts, synthetic data and approved fixtures/recipients only.</x:v>
      </x:c>
      <x:c r="I294" s="10" t="str">
        <x:v>Use a known owned QA ID for dynamic segments. Open /admin/workspaces/content directly and through navigation; reload, use Back and compare intended audience/publication.</x:v>
      </x:c>
      <x:c r="J294" s="10" t="str">
        <x:v>Correct page/item/state and navigation; no private leakage. Record Not deployed or Not applicable with explanation for absent capabilities.</x:v>
      </x:c>
      <x:c r="K294" s="11" t="str"/>
      <x:c r="L294" s="11" t="str">
        <x:v>Not run</x:v>
      </x:c>
      <x:c r="M294" s="11" t="str"/>
      <x:c r="N294" s="11" t="str"/>
      <x:c r="O294" s="11" t="str"/>
      <x:c r="P294" s="11" t="str"/>
      <x:c r="Q294" s="11" t="str"/>
      <x:c r="R294" s="11" t="str"/>
      <x:c r="S294" s="10" t="str">
        <x:v>Browser screenshot + network</x:v>
      </x:c>
      <x:c r="T294" s="10" t="str">
        <x:v>src/app/admin/workspaces/[workspace]/page.tsx</x:v>
      </x:c>
      <x:c r="U294" s="10" t="str">
        <x:v>Reconcile tagged fixtures; archive/withdraw only owned test publications. Preserve audit/financial history.</x:v>
      </x:c>
      <x:c r="V294" s="12" t="str">
        <x:f>IF(A294="","",IF(L294="Not run","Pending",IF(OR(L294="Blocked",L294="Not deployed",L294="Not applicable"),IF(OR(K294="",R294=""),"Needs explanation","Recorded"),IF(OR(L294="Pass",L294="Fail"),IF(OR(K294="",M294="",P294=""),"Needs result/evidence/build","Recorded"),"Needs valid status"))))</x:f>
        <x:v>Pending</x:v>
      </x:c>
    </x:row>
    <x:row r="295" ht="38" customHeight="1">
      <x:c r="A295" s="10" t="str">
        <x:v>QA-0291</x:v>
      </x:c>
      <x:c r="B295" s="10" t="str">
        <x:v>S. Route coverage</x:v>
      </x:c>
      <x:c r="C295" s="10" t="str">
        <x:v>Route entry: /admin/workspaces/media</x:v>
      </x:c>
      <x:c r="D295" s="10" t="str">
        <x:v>/admin/workspaces/media</x:v>
      </x:c>
      <x:c r="E295" s="10" t="str">
        <x:v>Authorized staff</x:v>
      </x:c>
      <x:c r="F295" s="10" t="str">
        <x:v>P1</x:v>
      </x:c>
      <x:c r="G295" s="10" t="str">
        <x:v>Live - read-only</x:v>
      </x:c>
      <x:c r="H295" s="10" t="str">
        <x:v>Record deployed build. Use assigned test accounts, synthetic data and approved fixtures/recipients only.</x:v>
      </x:c>
      <x:c r="I295" s="10" t="str">
        <x:v>Use a known owned QA ID for dynamic segments. Open /admin/workspaces/media directly and through navigation; reload, use Back and compare intended audience/publication.</x:v>
      </x:c>
      <x:c r="J295" s="10" t="str">
        <x:v>Correct page/item/state and navigation; no private leakage. Record Not deployed or Not applicable with explanation for absent capabilities.</x:v>
      </x:c>
      <x:c r="K295" s="11" t="str"/>
      <x:c r="L295" s="11" t="str">
        <x:v>Not run</x:v>
      </x:c>
      <x:c r="M295" s="11" t="str"/>
      <x:c r="N295" s="11" t="str"/>
      <x:c r="O295" s="11" t="str"/>
      <x:c r="P295" s="11" t="str"/>
      <x:c r="Q295" s="11" t="str"/>
      <x:c r="R295" s="11" t="str"/>
      <x:c r="S295" s="10" t="str">
        <x:v>Browser screenshot + network</x:v>
      </x:c>
      <x:c r="T295" s="10" t="str">
        <x:v>src/app/admin/workspaces/[workspace]/page.tsx</x:v>
      </x:c>
      <x:c r="U295" s="10" t="str">
        <x:v>Reconcile tagged fixtures; archive/withdraw only owned test publications. Preserve audit/financial history.</x:v>
      </x:c>
      <x:c r="V295" s="12" t="str">
        <x:f>IF(A295="","",IF(L295="Not run","Pending",IF(OR(L295="Blocked",L295="Not deployed",L295="Not applicable"),IF(OR(K295="",R295=""),"Needs explanation","Recorded"),IF(OR(L295="Pass",L295="Fail"),IF(OR(K295="",M295="",P295=""),"Needs result/evidence/build","Recorded"),"Needs valid status"))))</x:f>
        <x:v>Pending</x:v>
      </x:c>
    </x:row>
    <x:row r="296" ht="52" customHeight="1">
      <x:c r="A296" s="10" t="str">
        <x:v>QA-0292</x:v>
      </x:c>
      <x:c r="B296" s="10" t="str">
        <x:v>S. Route coverage</x:v>
      </x:c>
      <x:c r="C296" s="10" t="str">
        <x:v>Route entry: /admin/workspaces/governance</x:v>
      </x:c>
      <x:c r="D296" s="10" t="str">
        <x:v>/admin/workspaces/governance</x:v>
      </x:c>
      <x:c r="E296" s="10" t="str">
        <x:v>Authorized staff</x:v>
      </x:c>
      <x:c r="F296" s="10" t="str">
        <x:v>P1</x:v>
      </x:c>
      <x:c r="G296" s="10" t="str">
        <x:v>Live - read-only</x:v>
      </x:c>
      <x:c r="H296" s="10" t="str">
        <x:v>Record deployed build. Use assigned test accounts, synthetic data and approved fixtures/recipients only.</x:v>
      </x:c>
      <x:c r="I296" s="10" t="str">
        <x:v>Use a known owned QA ID for dynamic segments. Open /admin/workspaces/governance directly and through navigation; reload, use Back and compare intended audience/publication.</x:v>
      </x:c>
      <x:c r="J296" s="10" t="str">
        <x:v>Correct page/item/state and navigation; no private leakage. Record Not deployed or Not applicable with explanation for absent capabilities.</x:v>
      </x:c>
      <x:c r="K296" s="11" t="str"/>
      <x:c r="L296" s="11" t="str">
        <x:v>Not run</x:v>
      </x:c>
      <x:c r="M296" s="11" t="str"/>
      <x:c r="N296" s="11" t="str"/>
      <x:c r="O296" s="11" t="str"/>
      <x:c r="P296" s="11" t="str"/>
      <x:c r="Q296" s="11" t="str"/>
      <x:c r="R296" s="11" t="str"/>
      <x:c r="S296" s="10" t="str">
        <x:v>Browser screenshot + network</x:v>
      </x:c>
      <x:c r="T296" s="10" t="str">
        <x:v>src/app/admin/workspaces/[workspace]/page.tsx</x:v>
      </x:c>
      <x:c r="U296" s="10" t="str">
        <x:v>Reconcile tagged fixtures; archive/withdraw only owned test publications. Preserve audit/financial history.</x:v>
      </x:c>
      <x:c r="V296" s="12" t="str">
        <x:f>IF(A296="","",IF(L296="Not run","Pending",IF(OR(L296="Blocked",L296="Not deployed",L296="Not applicable"),IF(OR(K296="",R296=""),"Needs explanation","Recorded"),IF(OR(L296="Pass",L296="Fail"),IF(OR(K296="",M296="",P296=""),"Needs result/evidence/build","Recorded"),"Needs valid status"))))</x:f>
        <x:v>Pending</x:v>
      </x:c>
    </x:row>
    <x:row r="297" ht="38" customHeight="1">
      <x:c r="A297" s="10" t="str">
        <x:v>QA-0293</x:v>
      </x:c>
      <x:c r="B297" s="10" t="str">
        <x:v>S. Route coverage</x:v>
      </x:c>
      <x:c r="C297" s="10" t="str">
        <x:v>Route entry: /admin/workspaces/payments</x:v>
      </x:c>
      <x:c r="D297" s="10" t="str">
        <x:v>/admin/workspaces/payments</x:v>
      </x:c>
      <x:c r="E297" s="10" t="str">
        <x:v>Authorized staff</x:v>
      </x:c>
      <x:c r="F297" s="10" t="str">
        <x:v>P1</x:v>
      </x:c>
      <x:c r="G297" s="10" t="str">
        <x:v>Live - read-only</x:v>
      </x:c>
      <x:c r="H297" s="10" t="str">
        <x:v>Record deployed build. Use assigned test accounts, synthetic data and approved fixtures/recipients only.</x:v>
      </x:c>
      <x:c r="I297" s="10" t="str">
        <x:v>Use a known owned QA ID for dynamic segments. Open /admin/workspaces/payments directly and through navigation; reload, use Back and compare intended audience/publication.</x:v>
      </x:c>
      <x:c r="J297" s="10" t="str">
        <x:v>Correct page/item/state and navigation; no private leakage. Record Not deployed or Not applicable with explanation for absent capabilities.</x:v>
      </x:c>
      <x:c r="K297" s="11" t="str"/>
      <x:c r="L297" s="11" t="str">
        <x:v>Not run</x:v>
      </x:c>
      <x:c r="M297" s="11" t="str"/>
      <x:c r="N297" s="11" t="str"/>
      <x:c r="O297" s="11" t="str"/>
      <x:c r="P297" s="11" t="str"/>
      <x:c r="Q297" s="11" t="str"/>
      <x:c r="R297" s="11" t="str"/>
      <x:c r="S297" s="10" t="str">
        <x:v>Browser screenshot + network</x:v>
      </x:c>
      <x:c r="T297" s="10" t="str">
        <x:v>src/app/admin/workspaces/[workspace]/page.tsx</x:v>
      </x:c>
      <x:c r="U297" s="10" t="str">
        <x:v>Reconcile tagged fixtures; archive/withdraw only owned test publications. Preserve audit/financial history.</x:v>
      </x:c>
      <x:c r="V297" s="12" t="str">
        <x:f>IF(A297="","",IF(L297="Not run","Pending",IF(OR(L297="Blocked",L297="Not deployed",L297="Not applicable"),IF(OR(K297="",R297=""),"Needs explanation","Recorded"),IF(OR(L297="Pass",L297="Fail"),IF(OR(K297="",M297="",P297=""),"Needs result/evidence/build","Recorded"),"Needs valid status"))))</x:f>
        <x:v>Pending</x:v>
      </x:c>
    </x:row>
    <x:row r="298" ht="52" customHeight="1">
      <x:c r="A298" s="10" t="str">
        <x:v>QA-0294</x:v>
      </x:c>
      <x:c r="B298" s="10" t="str">
        <x:v>S. Route coverage</x:v>
      </x:c>
      <x:c r="C298" s="10" t="str">
        <x:v>Route entry: /admin/workspaces/onboarding-email</x:v>
      </x:c>
      <x:c r="D298" s="10" t="str">
        <x:v>/admin/workspaces/onboarding-email</x:v>
      </x:c>
      <x:c r="E298" s="10" t="str">
        <x:v>Authorized staff</x:v>
      </x:c>
      <x:c r="F298" s="10" t="str">
        <x:v>P1</x:v>
      </x:c>
      <x:c r="G298" s="10" t="str">
        <x:v>Live - read-only</x:v>
      </x:c>
      <x:c r="H298" s="10" t="str">
        <x:v>Record deployed build. Use assigned test accounts, synthetic data and approved fixtures/recipients only.</x:v>
      </x:c>
      <x:c r="I298" s="10" t="str">
        <x:v>Use a known owned QA ID for dynamic segments. Open /admin/workspaces/onboarding-email directly and through navigation; reload, use Back and compare intended audience/publication.</x:v>
      </x:c>
      <x:c r="J298" s="10" t="str">
        <x:v>Correct page/item/state and navigation; no private leakage. Record Not deployed or Not applicable with explanation for absent capabilities.</x:v>
      </x:c>
      <x:c r="K298" s="11" t="str"/>
      <x:c r="L298" s="11" t="str">
        <x:v>Not run</x:v>
      </x:c>
      <x:c r="M298" s="11" t="str"/>
      <x:c r="N298" s="11" t="str"/>
      <x:c r="O298" s="11" t="str"/>
      <x:c r="P298" s="11" t="str"/>
      <x:c r="Q298" s="11" t="str"/>
      <x:c r="R298" s="11" t="str"/>
      <x:c r="S298" s="10" t="str">
        <x:v>Browser screenshot + network</x:v>
      </x:c>
      <x:c r="T298" s="10" t="str">
        <x:v>src/app/admin/workspaces/[workspace]/page.tsx</x:v>
      </x:c>
      <x:c r="U298" s="10" t="str">
        <x:v>Reconcile tagged fixtures; archive/withdraw only owned test publications. Preserve audit/financial history.</x:v>
      </x:c>
      <x:c r="V298" s="12" t="str">
        <x:f>IF(A298="","",IF(L298="Not run","Pending",IF(OR(L298="Blocked",L298="Not deployed",L298="Not applicable"),IF(OR(K298="",R298=""),"Needs explanation","Recorded"),IF(OR(L298="Pass",L298="Fail"),IF(OR(K298="",M298="",P298=""),"Needs result/evidence/build","Recorded"),"Needs valid status"))))</x:f>
        <x:v>Pending</x:v>
      </x:c>
    </x:row>
    <x:row r="299" ht="38" customHeight="1">
      <x:c r="A299" s="10" t="str">
        <x:v>QA-0295</x:v>
      </x:c>
      <x:c r="B299" s="10" t="str">
        <x:v>S. Route coverage</x:v>
      </x:c>
      <x:c r="C299" s="10" t="str">
        <x:v>Route entry: /admin/workspaces/reports</x:v>
      </x:c>
      <x:c r="D299" s="10" t="str">
        <x:v>/admin/workspaces/reports</x:v>
      </x:c>
      <x:c r="E299" s="10" t="str">
        <x:v>Authorized staff</x:v>
      </x:c>
      <x:c r="F299" s="10" t="str">
        <x:v>P1</x:v>
      </x:c>
      <x:c r="G299" s="10" t="str">
        <x:v>Live - read-only</x:v>
      </x:c>
      <x:c r="H299" s="10" t="str">
        <x:v>Record deployed build. Use assigned test accounts, synthetic data and approved fixtures/recipients only.</x:v>
      </x:c>
      <x:c r="I299" s="10" t="str">
        <x:v>Use a known owned QA ID for dynamic segments. Open /admin/workspaces/reports directly and through navigation; reload, use Back and compare intended audience/publication.</x:v>
      </x:c>
      <x:c r="J299" s="10" t="str">
        <x:v>Correct page/item/state and navigation; no private leakage. Record Not deployed or Not applicable with explanation for absent capabilities.</x:v>
      </x:c>
      <x:c r="K299" s="11" t="str"/>
      <x:c r="L299" s="11" t="str">
        <x:v>Not run</x:v>
      </x:c>
      <x:c r="M299" s="11" t="str"/>
      <x:c r="N299" s="11" t="str"/>
      <x:c r="O299" s="11" t="str"/>
      <x:c r="P299" s="11" t="str"/>
      <x:c r="Q299" s="11" t="str"/>
      <x:c r="R299" s="11" t="str"/>
      <x:c r="S299" s="10" t="str">
        <x:v>Browser screenshot + network</x:v>
      </x:c>
      <x:c r="T299" s="10" t="str">
        <x:v>src/app/admin/workspaces/[workspace]/page.tsx</x:v>
      </x:c>
      <x:c r="U299" s="10" t="str">
        <x:v>Reconcile tagged fixtures; archive/withdraw only owned test publications. Preserve audit/financial history.</x:v>
      </x:c>
      <x:c r="V299" s="12" t="str">
        <x:f>IF(A299="","",IF(L299="Not run","Pending",IF(OR(L299="Blocked",L299="Not deployed",L299="Not applicable"),IF(OR(K299="",R299=""),"Needs explanation","Recorded"),IF(OR(L299="Pass",L299="Fail"),IF(OR(K299="",M299="",P299=""),"Needs result/evidence/build","Recorded"),"Needs valid status"))))</x:f>
        <x:v>Pending</x:v>
      </x:c>
    </x:row>
    <x:row r="300" ht="38" customHeight="1">
      <x:c r="A300" s="10" t="str">
        <x:v>QA-0296</x:v>
      </x:c>
      <x:c r="B300" s="10" t="str">
        <x:v>S. Route coverage</x:v>
      </x:c>
      <x:c r="C300" s="10" t="str">
        <x:v>Route entry: /admin/workspaces/access</x:v>
      </x:c>
      <x:c r="D300" s="10" t="str">
        <x:v>/admin/workspaces/access</x:v>
      </x:c>
      <x:c r="E300" s="10" t="str">
        <x:v>Authorized staff</x:v>
      </x:c>
      <x:c r="F300" s="10" t="str">
        <x:v>P1</x:v>
      </x:c>
      <x:c r="G300" s="10" t="str">
        <x:v>Live - read-only</x:v>
      </x:c>
      <x:c r="H300" s="10" t="str">
        <x:v>Record deployed build. Use assigned test accounts, synthetic data and approved fixtures/recipients only.</x:v>
      </x:c>
      <x:c r="I300" s="10" t="str">
        <x:v>Use a known owned QA ID for dynamic segments. Open /admin/workspaces/access directly and through navigation; reload, use Back and compare intended audience/publication.</x:v>
      </x:c>
      <x:c r="J300" s="10" t="str">
        <x:v>Correct page/item/state and navigation; no private leakage. Record Not deployed or Not applicable with explanation for absent capabilities.</x:v>
      </x:c>
      <x:c r="K300" s="11" t="str"/>
      <x:c r="L300" s="11" t="str">
        <x:v>Not run</x:v>
      </x:c>
      <x:c r="M300" s="11" t="str"/>
      <x:c r="N300" s="11" t="str"/>
      <x:c r="O300" s="11" t="str"/>
      <x:c r="P300" s="11" t="str"/>
      <x:c r="Q300" s="11" t="str"/>
      <x:c r="R300" s="11" t="str"/>
      <x:c r="S300" s="10" t="str">
        <x:v>Browser screenshot + network</x:v>
      </x:c>
      <x:c r="T300" s="10" t="str">
        <x:v>src/app/admin/workspaces/[workspace]/page.tsx</x:v>
      </x:c>
      <x:c r="U300" s="10" t="str">
        <x:v>Reconcile tagged fixtures; archive/withdraw only owned test publications. Preserve audit/financial history.</x:v>
      </x:c>
      <x:c r="V300" s="12" t="str">
        <x:f>IF(A300="","",IF(L300="Not run","Pending",IF(OR(L300="Blocked",L300="Not deployed",L300="Not applicable"),IF(OR(K300="",R300=""),"Needs explanation","Recorded"),IF(OR(L300="Pass",L300="Fail"),IF(OR(K300="",M300="",P300=""),"Needs result/evidence/build","Recorded"),"Needs valid status"))))</x:f>
        <x:v>Pending</x:v>
      </x:c>
    </x:row>
    <x:row r="301" ht="38" customHeight="1">
      <x:c r="A301" s="10" t="str">
        <x:v>QA-0297</x:v>
      </x:c>
      <x:c r="B301" s="10" t="str">
        <x:v>S. Route coverage</x:v>
      </x:c>
      <x:c r="C301" s="10" t="str">
        <x:v>Route entry: /email-verification</x:v>
      </x:c>
      <x:c r="D301" s="10" t="str">
        <x:v>/email-verification</x:v>
      </x:c>
      <x:c r="E301" s="10" t="str">
        <x:v>Anonymous / intended audience</x:v>
      </x:c>
      <x:c r="F301" s="10" t="str">
        <x:v>P1</x:v>
      </x:c>
      <x:c r="G301" s="10" t="str">
        <x:v>Live - read-only</x:v>
      </x:c>
      <x:c r="H301" s="10" t="str">
        <x:v>Record deployed build. Use assigned test accounts, synthetic data and approved fixtures/recipients only.</x:v>
      </x:c>
      <x:c r="I301" s="10" t="str">
        <x:v>Use a known owned QA ID for dynamic segments. Open /email-verification directly and through navigation; reload, use Back and compare intended audience/publication.</x:v>
      </x:c>
      <x:c r="J301" s="10" t="str">
        <x:v>Correct page/item/state and navigation; no private leakage. Record Not deployed or Not applicable with explanation for absent capabilities.</x:v>
      </x:c>
      <x:c r="K301" s="11" t="str"/>
      <x:c r="L301" s="11" t="str">
        <x:v>Not run</x:v>
      </x:c>
      <x:c r="M301" s="11" t="str"/>
      <x:c r="N301" s="11" t="str"/>
      <x:c r="O301" s="11" t="str"/>
      <x:c r="P301" s="11" t="str"/>
      <x:c r="Q301" s="11" t="str"/>
      <x:c r="R301" s="11" t="str"/>
      <x:c r="S301" s="10" t="str">
        <x:v>Browser screenshot + network</x:v>
      </x:c>
      <x:c r="T301" s="10" t="str">
        <x:v>src/app/email-verification/page.tsx</x:v>
      </x:c>
      <x:c r="U301" s="10" t="str">
        <x:v>Reconcile tagged fixtures; archive/withdraw only owned test publications. Preserve audit/financial history.</x:v>
      </x:c>
      <x:c r="V301" s="12" t="str">
        <x:f>IF(A301="","",IF(L301="Not run","Pending",IF(OR(L301="Blocked",L301="Not deployed",L301="Not applicable"),IF(OR(K301="",R301=""),"Needs explanation","Recorded"),IF(OR(L301="Pass",L301="Fail"),IF(OR(K301="",M301="",P301=""),"Needs result/evidence/build","Recorded"),"Needs valid status"))))</x:f>
        <x:v>Pending</x:v>
      </x:c>
    </x:row>
    <x:row r="302" ht="38" customHeight="1">
      <x:c r="A302" s="10" t="str">
        <x:v>QA-0298</x:v>
      </x:c>
      <x:c r="B302" s="10" t="str">
        <x:v>S. Route coverage</x:v>
      </x:c>
      <x:c r="C302" s="10" t="str">
        <x:v>Route entry: /events/[id]</x:v>
      </x:c>
      <x:c r="D302" s="10" t="str">
        <x:v>/events/[id]</x:v>
      </x:c>
      <x:c r="E302" s="10" t="str">
        <x:v>Anonymous / intended audience</x:v>
      </x:c>
      <x:c r="F302" s="10" t="str">
        <x:v>P1</x:v>
      </x:c>
      <x:c r="G302" s="10" t="str">
        <x:v>Live - read-only</x:v>
      </x:c>
      <x:c r="H302" s="10" t="str">
        <x:v>Record deployed build. Use assigned test accounts, synthetic data and approved fixtures/recipients only.</x:v>
      </x:c>
      <x:c r="I302" s="10" t="str">
        <x:v>Use a known owned QA ID for dynamic segments. Open /events/[id] directly and through navigation; reload, use Back and compare intended audience/publication.</x:v>
      </x:c>
      <x:c r="J302" s="10" t="str">
        <x:v>Correct page/item/state and navigation; no private leakage. Record Not deployed or Not applicable with explanation for absent capabilities.</x:v>
      </x:c>
      <x:c r="K302" s="11" t="str"/>
      <x:c r="L302" s="11" t="str">
        <x:v>Not run</x:v>
      </x:c>
      <x:c r="M302" s="11" t="str"/>
      <x:c r="N302" s="11" t="str"/>
      <x:c r="O302" s="11" t="str"/>
      <x:c r="P302" s="11" t="str"/>
      <x:c r="Q302" s="11" t="str"/>
      <x:c r="R302" s="11" t="str"/>
      <x:c r="S302" s="10" t="str">
        <x:v>Browser screenshot + network</x:v>
      </x:c>
      <x:c r="T302" s="10" t="str">
        <x:v>src/app/events/[id]/page.tsx</x:v>
      </x:c>
      <x:c r="U302" s="10" t="str">
        <x:v>Reconcile tagged fixtures; archive/withdraw only owned test publications. Preserve audit/financial history.</x:v>
      </x:c>
      <x:c r="V302" s="12" t="str">
        <x:f>IF(A302="","",IF(L302="Not run","Pending",IF(OR(L302="Blocked",L302="Not deployed",L302="Not applicable"),IF(OR(K302="",R302=""),"Needs explanation","Recorded"),IF(OR(L302="Pass",L302="Fail"),IF(OR(K302="",M302="",P302=""),"Needs result/evidence/build","Recorded"),"Needs valid status"))))</x:f>
        <x:v>Pending</x:v>
      </x:c>
    </x:row>
    <x:row r="303" ht="38" customHeight="1">
      <x:c r="A303" s="10" t="str">
        <x:v>QA-0299</x:v>
      </x:c>
      <x:c r="B303" s="10" t="str">
        <x:v>S. Route coverage</x:v>
      </x:c>
      <x:c r="C303" s="10" t="str">
        <x:v>Route entry: /flyers/[id]</x:v>
      </x:c>
      <x:c r="D303" s="10" t="str">
        <x:v>/flyers/[id]</x:v>
      </x:c>
      <x:c r="E303" s="10" t="str">
        <x:v>Anonymous / intended audience</x:v>
      </x:c>
      <x:c r="F303" s="10" t="str">
        <x:v>P1</x:v>
      </x:c>
      <x:c r="G303" s="10" t="str">
        <x:v>Live - read-only</x:v>
      </x:c>
      <x:c r="H303" s="10" t="str">
        <x:v>Record deployed build. Use assigned test accounts, synthetic data and approved fixtures/recipients only.</x:v>
      </x:c>
      <x:c r="I303" s="10" t="str">
        <x:v>Use a known owned QA ID for dynamic segments. Open /flyers/[id] directly and through navigation; reload, use Back and compare intended audience/publication.</x:v>
      </x:c>
      <x:c r="J303" s="10" t="str">
        <x:v>Correct page/item/state and navigation; no private leakage. Record Not deployed or Not applicable with explanation for absent capabilities.</x:v>
      </x:c>
      <x:c r="K303" s="11" t="str"/>
      <x:c r="L303" s="11" t="str">
        <x:v>Not run</x:v>
      </x:c>
      <x:c r="M303" s="11" t="str"/>
      <x:c r="N303" s="11" t="str"/>
      <x:c r="O303" s="11" t="str"/>
      <x:c r="P303" s="11" t="str"/>
      <x:c r="Q303" s="11" t="str"/>
      <x:c r="R303" s="11" t="str"/>
      <x:c r="S303" s="10" t="str">
        <x:v>Browser screenshot + network</x:v>
      </x:c>
      <x:c r="T303" s="10" t="str">
        <x:v>src/app/flyers/[id]/page.tsx</x:v>
      </x:c>
      <x:c r="U303" s="10" t="str">
        <x:v>Reconcile tagged fixtures; archive/withdraw only owned test publications. Preserve audit/financial history.</x:v>
      </x:c>
      <x:c r="V303" s="12" t="str">
        <x:f>IF(A303="","",IF(L303="Not run","Pending",IF(OR(L303="Blocked",L303="Not deployed",L303="Not applicable"),IF(OR(K303="",R303=""),"Needs explanation","Recorded"),IF(OR(L303="Pass",L303="Fail"),IF(OR(K303="",M303="",P303=""),"Needs result/evidence/build","Recorded"),"Needs valid status"))))</x:f>
        <x:v>Pending</x:v>
      </x:c>
    </x:row>
    <x:row r="304" ht="38" customHeight="1">
      <x:c r="A304" s="10" t="str">
        <x:v>QA-0300</x:v>
      </x:c>
      <x:c r="B304" s="10" t="str">
        <x:v>S. Route coverage</x:v>
      </x:c>
      <x:c r="C304" s="10" t="str">
        <x:v>Route entry: /forgot-password</x:v>
      </x:c>
      <x:c r="D304" s="10" t="str">
        <x:v>/forgot-password</x:v>
      </x:c>
      <x:c r="E304" s="10" t="str">
        <x:v>Anonymous / intended audience</x:v>
      </x:c>
      <x:c r="F304" s="10" t="str">
        <x:v>P1</x:v>
      </x:c>
      <x:c r="G304" s="10" t="str">
        <x:v>Live - read-only</x:v>
      </x:c>
      <x:c r="H304" s="10" t="str">
        <x:v>Record deployed build. Use assigned test accounts, synthetic data and approved fixtures/recipients only.</x:v>
      </x:c>
      <x:c r="I304" s="10" t="str">
        <x:v>Use a known owned QA ID for dynamic segments. Open /forgot-password directly and through navigation; reload, use Back and compare intended audience/publication.</x:v>
      </x:c>
      <x:c r="J304" s="10" t="str">
        <x:v>Correct page/item/state and navigation; no private leakage. Record Not deployed or Not applicable with explanation for absent capabilities.</x:v>
      </x:c>
      <x:c r="K304" s="11" t="str"/>
      <x:c r="L304" s="11" t="str">
        <x:v>Not run</x:v>
      </x:c>
      <x:c r="M304" s="11" t="str"/>
      <x:c r="N304" s="11" t="str"/>
      <x:c r="O304" s="11" t="str"/>
      <x:c r="P304" s="11" t="str"/>
      <x:c r="Q304" s="11" t="str"/>
      <x:c r="R304" s="11" t="str"/>
      <x:c r="S304" s="10" t="str">
        <x:v>Browser screenshot + network</x:v>
      </x:c>
      <x:c r="T304" s="10" t="str">
        <x:v>src/app/forgot-password/page.tsx</x:v>
      </x:c>
      <x:c r="U304" s="10" t="str">
        <x:v>Reconcile tagged fixtures; archive/withdraw only owned test publications. Preserve audit/financial history.</x:v>
      </x:c>
      <x:c r="V304" s="12" t="str">
        <x:f>IF(A304="","",IF(L304="Not run","Pending",IF(OR(L304="Blocked",L304="Not deployed",L304="Not applicable"),IF(OR(K304="",R304=""),"Needs explanation","Recorded"),IF(OR(L304="Pass",L304="Fail"),IF(OR(K304="",M304="",P304=""),"Needs result/evidence/build","Recorded"),"Needs valid status"))))</x:f>
        <x:v>Pending</x:v>
      </x:c>
    </x:row>
    <x:row r="305" ht="38" customHeight="1">
      <x:c r="A305" s="10" t="str">
        <x:v>QA-0301</x:v>
      </x:c>
      <x:c r="B305" s="10" t="str">
        <x:v>S. Route coverage</x:v>
      </x:c>
      <x:c r="C305" s="10" t="str">
        <x:v>Route entry: /invitation</x:v>
      </x:c>
      <x:c r="D305" s="10" t="str">
        <x:v>/invitation</x:v>
      </x:c>
      <x:c r="E305" s="10" t="str">
        <x:v>Anonymous / intended audience</x:v>
      </x:c>
      <x:c r="F305" s="10" t="str">
        <x:v>P1</x:v>
      </x:c>
      <x:c r="G305" s="10" t="str">
        <x:v>Live - read-only</x:v>
      </x:c>
      <x:c r="H305" s="10" t="str">
        <x:v>Record deployed build. Use assigned test accounts, synthetic data and approved fixtures/recipients only.</x:v>
      </x:c>
      <x:c r="I305" s="10" t="str">
        <x:v>Use a known owned QA ID for dynamic segments. Open /invitation directly and through navigation; reload, use Back and compare intended audience/publication.</x:v>
      </x:c>
      <x:c r="J305" s="10" t="str">
        <x:v>Correct page/item/state and navigation; no private leakage. Record Not deployed or Not applicable with explanation for absent capabilities.</x:v>
      </x:c>
      <x:c r="K305" s="11" t="str"/>
      <x:c r="L305" s="11" t="str">
        <x:v>Not run</x:v>
      </x:c>
      <x:c r="M305" s="11" t="str"/>
      <x:c r="N305" s="11" t="str"/>
      <x:c r="O305" s="11" t="str"/>
      <x:c r="P305" s="11" t="str"/>
      <x:c r="Q305" s="11" t="str"/>
      <x:c r="R305" s="11" t="str"/>
      <x:c r="S305" s="10" t="str">
        <x:v>Browser screenshot + network</x:v>
      </x:c>
      <x:c r="T305" s="10" t="str">
        <x:v>src/app/invitation/page.tsx</x:v>
      </x:c>
      <x:c r="U305" s="10" t="str">
        <x:v>Reconcile tagged fixtures; archive/withdraw only owned test publications. Preserve audit/financial history.</x:v>
      </x:c>
      <x:c r="V305" s="12" t="str">
        <x:f>IF(A305="","",IF(L305="Not run","Pending",IF(OR(L305="Blocked",L305="Not deployed",L305="Not applicable"),IF(OR(K305="",R305=""),"Needs explanation","Recorded"),IF(OR(L305="Pass",L305="Fail"),IF(OR(K305="",M305="",P305=""),"Needs result/evidence/build","Recorded"),"Needs valid status"))))</x:f>
        <x:v>Pending</x:v>
      </x:c>
    </x:row>
    <x:row r="306" ht="38" customHeight="1">
      <x:c r="A306" s="10" t="str">
        <x:v>QA-0302</x:v>
      </x:c>
      <x:c r="B306" s="10" t="str">
        <x:v>S. Route coverage</x:v>
      </x:c>
      <x:c r="C306" s="10" t="str">
        <x:v>Route entry: /join</x:v>
      </x:c>
      <x:c r="D306" s="10" t="str">
        <x:v>/join</x:v>
      </x:c>
      <x:c r="E306" s="10" t="str">
        <x:v>Anonymous / intended audience</x:v>
      </x:c>
      <x:c r="F306" s="10" t="str">
        <x:v>P1</x:v>
      </x:c>
      <x:c r="G306" s="10" t="str">
        <x:v>Live - read-only</x:v>
      </x:c>
      <x:c r="H306" s="10" t="str">
        <x:v>Record deployed build. Use assigned test accounts, synthetic data and approved fixtures/recipients only.</x:v>
      </x:c>
      <x:c r="I306" s="10" t="str">
        <x:v>Use a known owned QA ID for dynamic segments. Open /join directly and through navigation; reload, use Back and compare intended audience/publication.</x:v>
      </x:c>
      <x:c r="J306" s="10" t="str">
        <x:v>Correct page/item/state and navigation; no private leakage. Record Not deployed or Not applicable with explanation for absent capabilities.</x:v>
      </x:c>
      <x:c r="K306" s="11" t="str"/>
      <x:c r="L306" s="11" t="str">
        <x:v>Not run</x:v>
      </x:c>
      <x:c r="M306" s="11" t="str"/>
      <x:c r="N306" s="11" t="str"/>
      <x:c r="O306" s="11" t="str"/>
      <x:c r="P306" s="11" t="str"/>
      <x:c r="Q306" s="11" t="str"/>
      <x:c r="R306" s="11" t="str"/>
      <x:c r="S306" s="10" t="str">
        <x:v>Browser screenshot + network</x:v>
      </x:c>
      <x:c r="T306" s="10" t="str">
        <x:v>src/app/join/page.tsx</x:v>
      </x:c>
      <x:c r="U306" s="10" t="str">
        <x:v>Reconcile tagged fixtures; archive/withdraw only owned test publications. Preserve audit/financial history.</x:v>
      </x:c>
      <x:c r="V306" s="12" t="str">
        <x:f>IF(A306="","",IF(L306="Not run","Pending",IF(OR(L306="Blocked",L306="Not deployed",L306="Not applicable"),IF(OR(K306="",R306=""),"Needs explanation","Recorded"),IF(OR(L306="Pass",L306="Fail"),IF(OR(K306="",M306="",P306=""),"Needs result/evidence/build","Recorded"),"Needs valid status"))))</x:f>
        <x:v>Pending</x:v>
      </x:c>
    </x:row>
    <x:row r="307" ht="38" customHeight="1">
      <x:c r="A307" s="10" t="str">
        <x:v>QA-0303</x:v>
      </x:c>
      <x:c r="B307" s="10" t="str">
        <x:v>S. Route coverage</x:v>
      </x:c>
      <x:c r="C307" s="10" t="str">
        <x:v>Route entry: /login</x:v>
      </x:c>
      <x:c r="D307" s="10" t="str">
        <x:v>/login</x:v>
      </x:c>
      <x:c r="E307" s="10" t="str">
        <x:v>Anonymous / intended audience</x:v>
      </x:c>
      <x:c r="F307" s="10" t="str">
        <x:v>P1</x:v>
      </x:c>
      <x:c r="G307" s="10" t="str">
        <x:v>Live - read-only</x:v>
      </x:c>
      <x:c r="H307" s="10" t="str">
        <x:v>Record deployed build. Use assigned test accounts, synthetic data and approved fixtures/recipients only.</x:v>
      </x:c>
      <x:c r="I307" s="10" t="str">
        <x:v>Use a known owned QA ID for dynamic segments. Open /login directly and through navigation; reload, use Back and compare intended audience/publication.</x:v>
      </x:c>
      <x:c r="J307" s="10" t="str">
        <x:v>Correct page/item/state and navigation; no private leakage. Record Not deployed or Not applicable with explanation for absent capabilities.</x:v>
      </x:c>
      <x:c r="K307" s="11" t="str"/>
      <x:c r="L307" s="11" t="str">
        <x:v>Not run</x:v>
      </x:c>
      <x:c r="M307" s="11" t="str"/>
      <x:c r="N307" s="11" t="str"/>
      <x:c r="O307" s="11" t="str"/>
      <x:c r="P307" s="11" t="str"/>
      <x:c r="Q307" s="11" t="str"/>
      <x:c r="R307" s="11" t="str"/>
      <x:c r="S307" s="10" t="str">
        <x:v>Browser screenshot + network</x:v>
      </x:c>
      <x:c r="T307" s="10" t="str">
        <x:v>src/app/login/page.tsx</x:v>
      </x:c>
      <x:c r="U307" s="10" t="str">
        <x:v>Reconcile tagged fixtures; archive/withdraw only owned test publications. Preserve audit/financial history.</x:v>
      </x:c>
      <x:c r="V307" s="12" t="str">
        <x:f>IF(A307="","",IF(L307="Not run","Pending",IF(OR(L307="Blocked",L307="Not deployed",L307="Not applicable"),IF(OR(K307="",R307=""),"Needs explanation","Recorded"),IF(OR(L307="Pass",L307="Fail"),IF(OR(K307="",M307="",P307=""),"Needs result/evidence/build","Recorded"),"Needs valid status"))))</x:f>
        <x:v>Pending</x:v>
      </x:c>
    </x:row>
    <x:row r="308" ht="38" customHeight="1">
      <x:c r="A308" s="10" t="str">
        <x:v>QA-0304</x:v>
      </x:c>
      <x:c r="B308" s="10" t="str">
        <x:v>S. Route coverage</x:v>
      </x:c>
      <x:c r="C308" s="10" t="str">
        <x:v>Route entry: /member/application</x:v>
      </x:c>
      <x:c r="D308" s="10" t="str">
        <x:v>/member/application</x:v>
      </x:c>
      <x:c r="E308" s="10" t="str">
        <x:v>Member or own account</x:v>
      </x:c>
      <x:c r="F308" s="10" t="str">
        <x:v>P1</x:v>
      </x:c>
      <x:c r="G308" s="10" t="str">
        <x:v>Live - read-only</x:v>
      </x:c>
      <x:c r="H308" s="10" t="str">
        <x:v>Record deployed build. Use assigned test accounts, synthetic data and approved fixtures/recipients only.</x:v>
      </x:c>
      <x:c r="I308" s="10" t="str">
        <x:v>Use a known owned QA ID for dynamic segments. Open /member/application directly and through navigation; reload, use Back and compare intended audience/publication.</x:v>
      </x:c>
      <x:c r="J308" s="10" t="str">
        <x:v>Correct page/item/state and navigation; no private leakage. Record Not deployed or Not applicable with explanation for absent capabilities.</x:v>
      </x:c>
      <x:c r="K308" s="11" t="str"/>
      <x:c r="L308" s="11" t="str">
        <x:v>Not run</x:v>
      </x:c>
      <x:c r="M308" s="11" t="str"/>
      <x:c r="N308" s="11" t="str"/>
      <x:c r="O308" s="11" t="str"/>
      <x:c r="P308" s="11" t="str"/>
      <x:c r="Q308" s="11" t="str"/>
      <x:c r="R308" s="11" t="str"/>
      <x:c r="S308" s="10" t="str">
        <x:v>Browser screenshot + network</x:v>
      </x:c>
      <x:c r="T308" s="10" t="str">
        <x:v>src/app/member/application/page.tsx</x:v>
      </x:c>
      <x:c r="U308" s="10" t="str">
        <x:v>Reconcile tagged fixtures; archive/withdraw only owned test publications. Preserve audit/financial history.</x:v>
      </x:c>
      <x:c r="V308" s="12" t="str">
        <x:f>IF(A308="","",IF(L308="Not run","Pending",IF(OR(L308="Blocked",L308="Not deployed",L308="Not applicable"),IF(OR(K308="",R308=""),"Needs explanation","Recorded"),IF(OR(L308="Pass",L308="Fail"),IF(OR(K308="",M308="",P308=""),"Needs result/evidence/build","Recorded"),"Needs valid status"))))</x:f>
        <x:v>Pending</x:v>
      </x:c>
    </x:row>
    <x:row r="309" ht="38" customHeight="1">
      <x:c r="A309" s="10" t="str">
        <x:v>QA-0305</x:v>
      </x:c>
      <x:c r="B309" s="10" t="str">
        <x:v>S. Route coverage</x:v>
      </x:c>
      <x:c r="C309" s="10" t="str">
        <x:v>Route entry: /member/events</x:v>
      </x:c>
      <x:c r="D309" s="10" t="str">
        <x:v>/member/events</x:v>
      </x:c>
      <x:c r="E309" s="10" t="str">
        <x:v>Member or own account</x:v>
      </x:c>
      <x:c r="F309" s="10" t="str">
        <x:v>P1</x:v>
      </x:c>
      <x:c r="G309" s="10" t="str">
        <x:v>Live - read-only</x:v>
      </x:c>
      <x:c r="H309" s="10" t="str">
        <x:v>Record deployed build. Use assigned test accounts, synthetic data and approved fixtures/recipients only.</x:v>
      </x:c>
      <x:c r="I309" s="10" t="str">
        <x:v>Use a known owned QA ID for dynamic segments. Open /member/events directly and through navigation; reload, use Back and compare intended audience/publication.</x:v>
      </x:c>
      <x:c r="J309" s="10" t="str">
        <x:v>Correct page/item/state and navigation; no private leakage. Record Not deployed or Not applicable with explanation for absent capabilities.</x:v>
      </x:c>
      <x:c r="K309" s="11" t="str"/>
      <x:c r="L309" s="11" t="str">
        <x:v>Not run</x:v>
      </x:c>
      <x:c r="M309" s="11" t="str"/>
      <x:c r="N309" s="11" t="str"/>
      <x:c r="O309" s="11" t="str"/>
      <x:c r="P309" s="11" t="str"/>
      <x:c r="Q309" s="11" t="str"/>
      <x:c r="R309" s="11" t="str"/>
      <x:c r="S309" s="10" t="str">
        <x:v>Browser screenshot + network</x:v>
      </x:c>
      <x:c r="T309" s="10" t="str">
        <x:v>src/app/member/events/page.tsx</x:v>
      </x:c>
      <x:c r="U309" s="10" t="str">
        <x:v>Reconcile tagged fixtures; archive/withdraw only owned test publications. Preserve audit/financial history.</x:v>
      </x:c>
      <x:c r="V309" s="12" t="str">
        <x:f>IF(A309="","",IF(L309="Not run","Pending",IF(OR(L309="Blocked",L309="Not deployed",L309="Not applicable"),IF(OR(K309="",R309=""),"Needs explanation","Recorded"),IF(OR(L309="Pass",L309="Fail"),IF(OR(K309="",M309="",P309=""),"Needs result/evidence/build","Recorded"),"Needs valid status"))))</x:f>
        <x:v>Pending</x:v>
      </x:c>
    </x:row>
    <x:row r="310" ht="38" customHeight="1">
      <x:c r="A310" s="10" t="str">
        <x:v>QA-0306</x:v>
      </x:c>
      <x:c r="B310" s="10" t="str">
        <x:v>S. Route coverage</x:v>
      </x:c>
      <x:c r="C310" s="10" t="str">
        <x:v>Route entry: /member/inquiries</x:v>
      </x:c>
      <x:c r="D310" s="10" t="str">
        <x:v>/member/inquiries</x:v>
      </x:c>
      <x:c r="E310" s="10" t="str">
        <x:v>Member or own account</x:v>
      </x:c>
      <x:c r="F310" s="10" t="str">
        <x:v>P1</x:v>
      </x:c>
      <x:c r="G310" s="10" t="str">
        <x:v>Live - read-only</x:v>
      </x:c>
      <x:c r="H310" s="10" t="str">
        <x:v>Record deployed build. Use assigned test accounts, synthetic data and approved fixtures/recipients only.</x:v>
      </x:c>
      <x:c r="I310" s="10" t="str">
        <x:v>Use a known owned QA ID for dynamic segments. Open /member/inquiries directly and through navigation; reload, use Back and compare intended audience/publication.</x:v>
      </x:c>
      <x:c r="J310" s="10" t="str">
        <x:v>Correct page/item/state and navigation; no private leakage. Record Not deployed or Not applicable with explanation for absent capabilities.</x:v>
      </x:c>
      <x:c r="K310" s="11" t="str"/>
      <x:c r="L310" s="11" t="str">
        <x:v>Not run</x:v>
      </x:c>
      <x:c r="M310" s="11" t="str"/>
      <x:c r="N310" s="11" t="str"/>
      <x:c r="O310" s="11" t="str"/>
      <x:c r="P310" s="11" t="str"/>
      <x:c r="Q310" s="11" t="str"/>
      <x:c r="R310" s="11" t="str"/>
      <x:c r="S310" s="10" t="str">
        <x:v>Browser screenshot + network</x:v>
      </x:c>
      <x:c r="T310" s="10" t="str">
        <x:v>src/app/member/inquiries/page.tsx</x:v>
      </x:c>
      <x:c r="U310" s="10" t="str">
        <x:v>Reconcile tagged fixtures; archive/withdraw only owned test publications. Preserve audit/financial history.</x:v>
      </x:c>
      <x:c r="V310" s="12" t="str">
        <x:f>IF(A310="","",IF(L310="Not run","Pending",IF(OR(L310="Blocked",L310="Not deployed",L310="Not applicable"),IF(OR(K310="",R310=""),"Needs explanation","Recorded"),IF(OR(L310="Pass",L310="Fail"),IF(OR(K310="",M310="",P310=""),"Needs result/evidence/build","Recorded"),"Needs valid status"))))</x:f>
        <x:v>Pending</x:v>
      </x:c>
    </x:row>
    <x:row r="311" ht="38" customHeight="1">
      <x:c r="A311" s="10" t="str">
        <x:v>QA-0307</x:v>
      </x:c>
      <x:c r="B311" s="10" t="str">
        <x:v>S. Route coverage</x:v>
      </x:c>
      <x:c r="C311" s="10" t="str">
        <x:v>Route entry: /member</x:v>
      </x:c>
      <x:c r="D311" s="10" t="str">
        <x:v>/member</x:v>
      </x:c>
      <x:c r="E311" s="10" t="str">
        <x:v>Member or own account</x:v>
      </x:c>
      <x:c r="F311" s="10" t="str">
        <x:v>P1</x:v>
      </x:c>
      <x:c r="G311" s="10" t="str">
        <x:v>Live - read-only</x:v>
      </x:c>
      <x:c r="H311" s="10" t="str">
        <x:v>Record deployed build. Use assigned test accounts, synthetic data and approved fixtures/recipients only.</x:v>
      </x:c>
      <x:c r="I311" s="10" t="str">
        <x:v>Use a known owned QA ID for dynamic segments. Open /member directly and through navigation; reload, use Back and compare intended audience/publication.</x:v>
      </x:c>
      <x:c r="J311" s="10" t="str">
        <x:v>Correct page/item/state and navigation; no private leakage. Record Not deployed or Not applicable with explanation for absent capabilities.</x:v>
      </x:c>
      <x:c r="K311" s="11" t="str"/>
      <x:c r="L311" s="11" t="str">
        <x:v>Not run</x:v>
      </x:c>
      <x:c r="M311" s="11" t="str"/>
      <x:c r="N311" s="11" t="str"/>
      <x:c r="O311" s="11" t="str"/>
      <x:c r="P311" s="11" t="str"/>
      <x:c r="Q311" s="11" t="str"/>
      <x:c r="R311" s="11" t="str"/>
      <x:c r="S311" s="10" t="str">
        <x:v>Browser screenshot + network</x:v>
      </x:c>
      <x:c r="T311" s="10" t="str">
        <x:v>src/app/member/page.tsx</x:v>
      </x:c>
      <x:c r="U311" s="10" t="str">
        <x:v>Reconcile tagged fixtures; archive/withdraw only owned test publications. Preserve audit/financial history.</x:v>
      </x:c>
      <x:c r="V311" s="12" t="str">
        <x:f>IF(A311="","",IF(L311="Not run","Pending",IF(OR(L311="Blocked",L311="Not deployed",L311="Not applicable"),IF(OR(K311="",R311=""),"Needs explanation","Recorded"),IF(OR(L311="Pass",L311="Fail"),IF(OR(K311="",M311="",P311=""),"Needs result/evidence/build","Recorded"),"Needs valid status"))))</x:f>
        <x:v>Pending</x:v>
      </x:c>
    </x:row>
    <x:row r="312" ht="38" customHeight="1">
      <x:c r="A312" s="10" t="str">
        <x:v>QA-0308</x:v>
      </x:c>
      <x:c r="B312" s="10" t="str">
        <x:v>S. Route coverage</x:v>
      </x:c>
      <x:c r="C312" s="10" t="str">
        <x:v>Route entry: /member/payments</x:v>
      </x:c>
      <x:c r="D312" s="10" t="str">
        <x:v>/member/payments</x:v>
      </x:c>
      <x:c r="E312" s="10" t="str">
        <x:v>Member or own account</x:v>
      </x:c>
      <x:c r="F312" s="10" t="str">
        <x:v>P1</x:v>
      </x:c>
      <x:c r="G312" s="10" t="str">
        <x:v>Live - read-only</x:v>
      </x:c>
      <x:c r="H312" s="10" t="str">
        <x:v>Record deployed build. Use assigned test accounts, synthetic data and approved fixtures/recipients only.</x:v>
      </x:c>
      <x:c r="I312" s="10" t="str">
        <x:v>Use a known owned QA ID for dynamic segments. Open /member/payments directly and through navigation; reload, use Back and compare intended audience/publication.</x:v>
      </x:c>
      <x:c r="J312" s="10" t="str">
        <x:v>Correct page/item/state and navigation; no private leakage. Record Not deployed or Not applicable with explanation for absent capabilities.</x:v>
      </x:c>
      <x:c r="K312" s="11" t="str"/>
      <x:c r="L312" s="11" t="str">
        <x:v>Not run</x:v>
      </x:c>
      <x:c r="M312" s="11" t="str"/>
      <x:c r="N312" s="11" t="str"/>
      <x:c r="O312" s="11" t="str"/>
      <x:c r="P312" s="11" t="str"/>
      <x:c r="Q312" s="11" t="str"/>
      <x:c r="R312" s="11" t="str"/>
      <x:c r="S312" s="10" t="str">
        <x:v>Browser screenshot + network</x:v>
      </x:c>
      <x:c r="T312" s="10" t="str">
        <x:v>src/app/member/payments/page.tsx</x:v>
      </x:c>
      <x:c r="U312" s="10" t="str">
        <x:v>Reconcile tagged fixtures; archive/withdraw only owned test publications. Preserve audit/financial history.</x:v>
      </x:c>
      <x:c r="V312" s="12" t="str">
        <x:f>IF(A312="","",IF(L312="Not run","Pending",IF(OR(L312="Blocked",L312="Not deployed",L312="Not applicable"),IF(OR(K312="",R312=""),"Needs explanation","Recorded"),IF(OR(L312="Pass",L312="Fail"),IF(OR(K312="",M312="",P312=""),"Needs result/evidence/build","Recorded"),"Needs valid status"))))</x:f>
        <x:v>Pending</x:v>
      </x:c>
    </x:row>
    <x:row r="313" ht="38" customHeight="1">
      <x:c r="A313" s="10" t="str">
        <x:v>QA-0309</x:v>
      </x:c>
      <x:c r="B313" s="10" t="str">
        <x:v>S. Route coverage</x:v>
      </x:c>
      <x:c r="C313" s="10" t="str">
        <x:v>Route entry: /member/security</x:v>
      </x:c>
      <x:c r="D313" s="10" t="str">
        <x:v>/member/security</x:v>
      </x:c>
      <x:c r="E313" s="10" t="str">
        <x:v>Member or own account</x:v>
      </x:c>
      <x:c r="F313" s="10" t="str">
        <x:v>P1</x:v>
      </x:c>
      <x:c r="G313" s="10" t="str">
        <x:v>Live - read-only</x:v>
      </x:c>
      <x:c r="H313" s="10" t="str">
        <x:v>Record deployed build. Use assigned test accounts, synthetic data and approved fixtures/recipients only.</x:v>
      </x:c>
      <x:c r="I313" s="10" t="str">
        <x:v>Use a known owned QA ID for dynamic segments. Open /member/security directly and through navigation; reload, use Back and compare intended audience/publication.</x:v>
      </x:c>
      <x:c r="J313" s="10" t="str">
        <x:v>Correct page/item/state and navigation; no private leakage. Record Not deployed or Not applicable with explanation for absent capabilities.</x:v>
      </x:c>
      <x:c r="K313" s="11" t="str"/>
      <x:c r="L313" s="11" t="str">
        <x:v>Not run</x:v>
      </x:c>
      <x:c r="M313" s="11" t="str"/>
      <x:c r="N313" s="11" t="str"/>
      <x:c r="O313" s="11" t="str"/>
      <x:c r="P313" s="11" t="str"/>
      <x:c r="Q313" s="11" t="str"/>
      <x:c r="R313" s="11" t="str"/>
      <x:c r="S313" s="10" t="str">
        <x:v>Browser screenshot + network</x:v>
      </x:c>
      <x:c r="T313" s="10" t="str">
        <x:v>src/app/member/security/page.tsx</x:v>
      </x:c>
      <x:c r="U313" s="10" t="str">
        <x:v>Reconcile tagged fixtures; archive/withdraw only owned test publications. Preserve audit/financial history.</x:v>
      </x:c>
      <x:c r="V313" s="12" t="str">
        <x:f>IF(A313="","",IF(L313="Not run","Pending",IF(OR(L313="Blocked",L313="Not deployed",L313="Not applicable"),IF(OR(K313="",R313=""),"Needs explanation","Recorded"),IF(OR(L313="Pass",L313="Fail"),IF(OR(K313="",M313="",P313=""),"Needs result/evidence/build","Recorded"),"Needs valid status"))))</x:f>
        <x:v>Pending</x:v>
      </x:c>
    </x:row>
    <x:row r="314" ht="38" customHeight="1">
      <x:c r="A314" s="10" t="str">
        <x:v>QA-0310</x:v>
      </x:c>
      <x:c r="B314" s="10" t="str">
        <x:v>S. Route coverage</x:v>
      </x:c>
      <x:c r="C314" s="10" t="str">
        <x:v>Route entry: /</x:v>
      </x:c>
      <x:c r="D314" s="10" t="str">
        <x:v>/</x:v>
      </x:c>
      <x:c r="E314" s="10" t="str">
        <x:v>Anonymous / intended audience</x:v>
      </x:c>
      <x:c r="F314" s="10" t="str">
        <x:v>P1</x:v>
      </x:c>
      <x:c r="G314" s="10" t="str">
        <x:v>Live - read-only</x:v>
      </x:c>
      <x:c r="H314" s="10" t="str">
        <x:v>Record deployed build. Use assigned test accounts, synthetic data and approved fixtures/recipients only.</x:v>
      </x:c>
      <x:c r="I314" s="10" t="str">
        <x:v>Use a known owned QA ID for dynamic segments. Open / directly and through navigation; reload, use Back and compare intended audience/publication.</x:v>
      </x:c>
      <x:c r="J314" s="10" t="str">
        <x:v>Correct page/item/state and navigation; no private leakage. Record Not deployed or Not applicable with explanation for absent capabilities.</x:v>
      </x:c>
      <x:c r="K314" s="11" t="str"/>
      <x:c r="L314" s="11" t="str">
        <x:v>Not run</x:v>
      </x:c>
      <x:c r="M314" s="11" t="str"/>
      <x:c r="N314" s="11" t="str"/>
      <x:c r="O314" s="11" t="str"/>
      <x:c r="P314" s="11" t="str"/>
      <x:c r="Q314" s="11" t="str"/>
      <x:c r="R314" s="11" t="str"/>
      <x:c r="S314" s="10" t="str">
        <x:v>Browser screenshot + network</x:v>
      </x:c>
      <x:c r="T314" s="10" t="str">
        <x:v>src/app/page.tsx</x:v>
      </x:c>
      <x:c r="U314" s="10" t="str">
        <x:v>Reconcile tagged fixtures; archive/withdraw only owned test publications. Preserve audit/financial history.</x:v>
      </x:c>
      <x:c r="V314" s="12" t="str">
        <x:f>IF(A314="","",IF(L314="Not run","Pending",IF(OR(L314="Blocked",L314="Not deployed",L314="Not applicable"),IF(OR(K314="",R314=""),"Needs explanation","Recorded"),IF(OR(L314="Pass",L314="Fail"),IF(OR(K314="",M314="",P314=""),"Needs result/evidence/build","Recorded"),"Needs valid status"))))</x:f>
        <x:v>Pending</x:v>
      </x:c>
    </x:row>
    <x:row r="315" ht="38" customHeight="1">
      <x:c r="A315" s="10" t="str">
        <x:v>QA-0311</x:v>
      </x:c>
      <x:c r="B315" s="10" t="str">
        <x:v>S. Route coverage</x:v>
      </x:c>
      <x:c r="C315" s="10" t="str">
        <x:v>Route entry: /preview/admin</x:v>
      </x:c>
      <x:c r="D315" s="10" t="str">
        <x:v>/preview/admin</x:v>
      </x:c>
      <x:c r="E315" s="10" t="str">
        <x:v>Authorized staff</x:v>
      </x:c>
      <x:c r="F315" s="10" t="str">
        <x:v>P1</x:v>
      </x:c>
      <x:c r="G315" s="10" t="str">
        <x:v>Live - read-only</x:v>
      </x:c>
      <x:c r="H315" s="10" t="str">
        <x:v>Record deployed build. Use assigned test accounts, synthetic data and approved fixtures/recipients only.</x:v>
      </x:c>
      <x:c r="I315" s="10" t="str">
        <x:v>Use a known owned QA ID for dynamic segments. Open /preview/admin directly and through navigation; reload, use Back and compare intended audience/publication.</x:v>
      </x:c>
      <x:c r="J315" s="10" t="str">
        <x:v>Correct page/item/state and navigation; no private leakage. Record Not deployed or Not applicable with explanation for absent capabilities.</x:v>
      </x:c>
      <x:c r="K315" s="11" t="str"/>
      <x:c r="L315" s="11" t="str">
        <x:v>Not run</x:v>
      </x:c>
      <x:c r="M315" s="11" t="str"/>
      <x:c r="N315" s="11" t="str"/>
      <x:c r="O315" s="11" t="str"/>
      <x:c r="P315" s="11" t="str"/>
      <x:c r="Q315" s="11" t="str"/>
      <x:c r="R315" s="11" t="str"/>
      <x:c r="S315" s="10" t="str">
        <x:v>Browser screenshot + network</x:v>
      </x:c>
      <x:c r="T315" s="10" t="str">
        <x:v>src/app/preview/admin/page.tsx</x:v>
      </x:c>
      <x:c r="U315" s="10" t="str">
        <x:v>Reconcile tagged fixtures; archive/withdraw only owned test publications. Preserve audit/financial history.</x:v>
      </x:c>
      <x:c r="V315" s="12" t="str">
        <x:f>IF(A315="","",IF(L315="Not run","Pending",IF(OR(L315="Blocked",L315="Not deployed",L315="Not applicable"),IF(OR(K315="",R315=""),"Needs explanation","Recorded"),IF(OR(L315="Pass",L315="Fail"),IF(OR(K315="",M315="",P315=""),"Needs result/evidence/build","Recorded"),"Needs valid status"))))</x:f>
        <x:v>Pending</x:v>
      </x:c>
    </x:row>
    <x:row r="316" ht="52" customHeight="1">
      <x:c r="A316" s="10" t="str">
        <x:v>QA-0312</x:v>
      </x:c>
      <x:c r="B316" s="10" t="str">
        <x:v>S. Route coverage</x:v>
      </x:c>
      <x:c r="C316" s="10" t="str">
        <x:v>Route entry: /preview/admin/workspaces/[workspace]</x:v>
      </x:c>
      <x:c r="D316" s="10" t="str">
        <x:v>/preview/admin/workspaces/[workspace]</x:v>
      </x:c>
      <x:c r="E316" s="10" t="str">
        <x:v>Authorized staff</x:v>
      </x:c>
      <x:c r="F316" s="10" t="str">
        <x:v>P1</x:v>
      </x:c>
      <x:c r="G316" s="10" t="str">
        <x:v>Live - read-only</x:v>
      </x:c>
      <x:c r="H316" s="10" t="str">
        <x:v>Record deployed build. Use assigned test accounts, synthetic data and approved fixtures/recipients only.</x:v>
      </x:c>
      <x:c r="I316" s="10" t="str">
        <x:v>Use a known owned QA ID for dynamic segments. Open /preview/admin/workspaces/[workspace] directly and through navigation; reload, use Back and compare intended audience/publication.</x:v>
      </x:c>
      <x:c r="J316" s="10" t="str">
        <x:v>Correct page/item/state and navigation; no private leakage. Record Not deployed or Not applicable with explanation for absent capabilities.</x:v>
      </x:c>
      <x:c r="K316" s="11" t="str"/>
      <x:c r="L316" s="11" t="str">
        <x:v>Not run</x:v>
      </x:c>
      <x:c r="M316" s="11" t="str"/>
      <x:c r="N316" s="11" t="str"/>
      <x:c r="O316" s="11" t="str"/>
      <x:c r="P316" s="11" t="str"/>
      <x:c r="Q316" s="11" t="str"/>
      <x:c r="R316" s="11" t="str"/>
      <x:c r="S316" s="10" t="str">
        <x:v>Browser screenshot + network</x:v>
      </x:c>
      <x:c r="T316" s="10" t="str">
        <x:v>src/app/preview/admin/workspaces/[workspace]/page.tsx</x:v>
      </x:c>
      <x:c r="U316" s="10" t="str">
        <x:v>Reconcile tagged fixtures; archive/withdraw only owned test publications. Preserve audit/financial history.</x:v>
      </x:c>
      <x:c r="V316" s="12" t="str">
        <x:f>IF(A316="","",IF(L316="Not run","Pending",IF(OR(L316="Blocked",L316="Not deployed",L316="Not applicable"),IF(OR(K316="",R316=""),"Needs explanation","Recorded"),IF(OR(L316="Pass",L316="Fail"),IF(OR(K316="",M316="",P316=""),"Needs result/evidence/build","Recorded"),"Needs valid status"))))</x:f>
        <x:v>Pending</x:v>
      </x:c>
    </x:row>
    <x:row r="317" ht="38" customHeight="1">
      <x:c r="A317" s="10" t="str">
        <x:v>QA-0313</x:v>
      </x:c>
      <x:c r="B317" s="10" t="str">
        <x:v>S. Route coverage</x:v>
      </x:c>
      <x:c r="C317" s="10" t="str">
        <x:v>Route entry: /reset-password</x:v>
      </x:c>
      <x:c r="D317" s="10" t="str">
        <x:v>/reset-password</x:v>
      </x:c>
      <x:c r="E317" s="10" t="str">
        <x:v>Anonymous / intended audience</x:v>
      </x:c>
      <x:c r="F317" s="10" t="str">
        <x:v>P1</x:v>
      </x:c>
      <x:c r="G317" s="10" t="str">
        <x:v>Live - read-only</x:v>
      </x:c>
      <x:c r="H317" s="10" t="str">
        <x:v>Record deployed build. Use assigned test accounts, synthetic data and approved fixtures/recipients only.</x:v>
      </x:c>
      <x:c r="I317" s="10" t="str">
        <x:v>Use a known owned QA ID for dynamic segments. Open /reset-password directly and through navigation; reload, use Back and compare intended audience/publication.</x:v>
      </x:c>
      <x:c r="J317" s="10" t="str">
        <x:v>Correct page/item/state and navigation; no private leakage. Record Not deployed or Not applicable with explanation for absent capabilities.</x:v>
      </x:c>
      <x:c r="K317" s="11" t="str"/>
      <x:c r="L317" s="11" t="str">
        <x:v>Not run</x:v>
      </x:c>
      <x:c r="M317" s="11" t="str"/>
      <x:c r="N317" s="11" t="str"/>
      <x:c r="O317" s="11" t="str"/>
      <x:c r="P317" s="11" t="str"/>
      <x:c r="Q317" s="11" t="str"/>
      <x:c r="R317" s="11" t="str"/>
      <x:c r="S317" s="10" t="str">
        <x:v>Browser screenshot + network</x:v>
      </x:c>
      <x:c r="T317" s="10" t="str">
        <x:v>src/app/reset-password/page.tsx</x:v>
      </x:c>
      <x:c r="U317" s="10" t="str">
        <x:v>Reconcile tagged fixtures; archive/withdraw only owned test publications. Preserve audit/financial history.</x:v>
      </x:c>
      <x:c r="V317" s="12" t="str">
        <x:f>IF(A317="","",IF(L317="Not run","Pending",IF(OR(L317="Blocked",L317="Not deployed",L317="Not applicable"),IF(OR(K317="",R317=""),"Needs explanation","Recorded"),IF(OR(L317="Pass",L317="Fail"),IF(OR(K317="",M317="",P317=""),"Needs result/evidence/build","Recorded"),"Needs valid status"))))</x:f>
        <x:v>Pending</x:v>
      </x:c>
    </x:row>
    <x:row r="318" ht="38" customHeight="1">
      <x:c r="A318" s="10" t="str">
        <x:v>QA-0314</x:v>
      </x:c>
      <x:c r="B318" s="10" t="str">
        <x:v>S. Route coverage</x:v>
      </x:c>
      <x:c r="C318" s="10" t="str">
        <x:v>Route entry: /resources/[slug]</x:v>
      </x:c>
      <x:c r="D318" s="10" t="str">
        <x:v>/resources/[slug]</x:v>
      </x:c>
      <x:c r="E318" s="10" t="str">
        <x:v>Anonymous / intended audience</x:v>
      </x:c>
      <x:c r="F318" s="10" t="str">
        <x:v>P1</x:v>
      </x:c>
      <x:c r="G318" s="10" t="str">
        <x:v>Live - read-only</x:v>
      </x:c>
      <x:c r="H318" s="10" t="str">
        <x:v>Record deployed build. Use assigned test accounts, synthetic data and approved fixtures/recipients only.</x:v>
      </x:c>
      <x:c r="I318" s="10" t="str">
        <x:v>Use a known owned QA ID for dynamic segments. Open /resources/[slug] directly and through navigation; reload, use Back and compare intended audience/publication.</x:v>
      </x:c>
      <x:c r="J318" s="10" t="str">
        <x:v>Correct page/item/state and navigation; no private leakage. Record Not deployed or Not applicable with explanation for absent capabilities.</x:v>
      </x:c>
      <x:c r="K318" s="11" t="str"/>
      <x:c r="L318" s="11" t="str">
        <x:v>Not run</x:v>
      </x:c>
      <x:c r="M318" s="11" t="str"/>
      <x:c r="N318" s="11" t="str"/>
      <x:c r="O318" s="11" t="str"/>
      <x:c r="P318" s="11" t="str"/>
      <x:c r="Q318" s="11" t="str"/>
      <x:c r="R318" s="11" t="str"/>
      <x:c r="S318" s="10" t="str">
        <x:v>Browser screenshot + network</x:v>
      </x:c>
      <x:c r="T318" s="10" t="str">
        <x:v>src/app/resources/[slug]/page.tsx</x:v>
      </x:c>
      <x:c r="U318" s="10" t="str">
        <x:v>Reconcile tagged fixtures; archive/withdraw only owned test publications. Preserve audit/financial history.</x:v>
      </x:c>
      <x:c r="V318" s="12" t="str">
        <x:f>IF(A318="","",IF(L318="Not run","Pending",IF(OR(L318="Blocked",L318="Not deployed",L318="Not applicable"),IF(OR(K318="",R318=""),"Needs explanation","Recorded"),IF(OR(L318="Pass",L318="Fail"),IF(OR(K318="",M318="",P318=""),"Needs result/evidence/build","Recorded"),"Needs valid status"))))</x:f>
        <x:v>Pending</x:v>
      </x:c>
    </x:row>
    <x:row r="319" ht="38" customHeight="1">
      <x:c r="A319" s="10" t="str">
        <x:v>QA-0315</x:v>
      </x:c>
      <x:c r="B319" s="10" t="str">
        <x:v>S. Route coverage</x:v>
      </x:c>
      <x:c r="C319" s="10" t="str">
        <x:v>Route entry: /signup</x:v>
      </x:c>
      <x:c r="D319" s="10" t="str">
        <x:v>/signup</x:v>
      </x:c>
      <x:c r="E319" s="10" t="str">
        <x:v>Anonymous / intended audience</x:v>
      </x:c>
      <x:c r="F319" s="10" t="str">
        <x:v>P1</x:v>
      </x:c>
      <x:c r="G319" s="10" t="str">
        <x:v>Live - read-only</x:v>
      </x:c>
      <x:c r="H319" s="10" t="str">
        <x:v>Record deployed build. Use assigned test accounts, synthetic data and approved fixtures/recipients only.</x:v>
      </x:c>
      <x:c r="I319" s="10" t="str">
        <x:v>Use a known owned QA ID for dynamic segments. Open /signup directly and through navigation; reload, use Back and compare intended audience/publication.</x:v>
      </x:c>
      <x:c r="J319" s="10" t="str">
        <x:v>Correct page/item/state and navigation; no private leakage. Record Not deployed or Not applicable with explanation for absent capabilities.</x:v>
      </x:c>
      <x:c r="K319" s="11" t="str"/>
      <x:c r="L319" s="11" t="str">
        <x:v>Not run</x:v>
      </x:c>
      <x:c r="M319" s="11" t="str"/>
      <x:c r="N319" s="11" t="str"/>
      <x:c r="O319" s="11" t="str"/>
      <x:c r="P319" s="11" t="str"/>
      <x:c r="Q319" s="11" t="str"/>
      <x:c r="R319" s="11" t="str"/>
      <x:c r="S319" s="10" t="str">
        <x:v>Browser screenshot + network</x:v>
      </x:c>
      <x:c r="T319" s="10" t="str">
        <x:v>src/app/signup/page.tsx</x:v>
      </x:c>
      <x:c r="U319" s="10" t="str">
        <x:v>Reconcile tagged fixtures; archive/withdraw only owned test publications. Preserve audit/financial history.</x:v>
      </x:c>
      <x:c r="V319" s="12" t="str">
        <x:f>IF(A319="","",IF(L319="Not run","Pending",IF(OR(L319="Blocked",L319="Not deployed",L319="Not applicable"),IF(OR(K319="",R319=""),"Needs explanation","Recorded"),IF(OR(L319="Pass",L319="Fail"),IF(OR(K319="",M319="",P319=""),"Needs result/evidence/build","Recorded"),"Needs valid status"))))</x:f>
        <x:v>Pending</x:v>
      </x:c>
    </x:row>
    <x:row r="320" ht="38" customHeight="1">
      <x:c r="A320" s="10" t="str">
        <x:v>QA-0316</x:v>
      </x:c>
      <x:c r="B320" s="10" t="str">
        <x:v>S. Route coverage</x:v>
      </x:c>
      <x:c r="C320" s="10" t="str">
        <x:v>Route entry: /unsubscribe</x:v>
      </x:c>
      <x:c r="D320" s="10" t="str">
        <x:v>/unsubscribe</x:v>
      </x:c>
      <x:c r="E320" s="10" t="str">
        <x:v>Anonymous / intended audience</x:v>
      </x:c>
      <x:c r="F320" s="10" t="str">
        <x:v>P1</x:v>
      </x:c>
      <x:c r="G320" s="10" t="str">
        <x:v>Live - read-only</x:v>
      </x:c>
      <x:c r="H320" s="10" t="str">
        <x:v>Record deployed build. Use assigned test accounts, synthetic data and approved fixtures/recipients only.</x:v>
      </x:c>
      <x:c r="I320" s="10" t="str">
        <x:v>Use a known owned QA ID for dynamic segments. Open /unsubscribe directly and through navigation; reload, use Back and compare intended audience/publication.</x:v>
      </x:c>
      <x:c r="J320" s="10" t="str">
        <x:v>Correct page/item/state and navigation; no private leakage. Record Not deployed or Not applicable with explanation for absent capabilities.</x:v>
      </x:c>
      <x:c r="K320" s="11" t="str"/>
      <x:c r="L320" s="11" t="str">
        <x:v>Not run</x:v>
      </x:c>
      <x:c r="M320" s="11" t="str"/>
      <x:c r="N320" s="11" t="str"/>
      <x:c r="O320" s="11" t="str"/>
      <x:c r="P320" s="11" t="str"/>
      <x:c r="Q320" s="11" t="str"/>
      <x:c r="R320" s="11" t="str"/>
      <x:c r="S320" s="10" t="str">
        <x:v>Browser screenshot + network</x:v>
      </x:c>
      <x:c r="T320" s="10" t="str">
        <x:v>src/app/unsubscribe/page.tsx</x:v>
      </x:c>
      <x:c r="U320" s="10" t="str">
        <x:v>Reconcile tagged fixtures; archive/withdraw only owned test publications. Preserve audit/financial history.</x:v>
      </x:c>
      <x:c r="V320" s="12" t="str">
        <x:f>IF(A320="","",IF(L320="Not run","Pending",IF(OR(L320="Blocked",L320="Not deployed",L320="Not applicable"),IF(OR(K320="",R320=""),"Needs explanation","Recorded"),IF(OR(L320="Pass",L320="Fail"),IF(OR(K320="",M320="",P320=""),"Needs result/evidence/build","Recorded"),"Needs valid status"))))</x:f>
        <x:v>Pending</x:v>
      </x:c>
    </x:row>
    <x:row r="321" ht="66" customHeight="1">
      <x:c r="A321" s="10" t="str">
        <x:v>QA-0317</x:v>
      </x:c>
      <x:c r="B321" s="10" t="str">
        <x:v>T. API contract</x:v>
      </x:c>
      <x:c r="C321" s="10" t="str">
        <x:v>GET /api/attention</x:v>
      </x:c>
      <x:c r="D321" s="10" t="str">
        <x:v>/api/attention</x:v>
      </x:c>
      <x:c r="E321" s="10" t="str">
        <x:v>Technical tester</x:v>
      </x:c>
      <x:c r="F321" s="10" t="str">
        <x:v>P1</x:v>
      </x:c>
      <x:c r="G321" s="10" t="str">
        <x:v>Isolated only</x:v>
      </x:c>
      <x:c r="H321" s="10" t="str">
        <x:v>Isolated app/database; providers disabled or QA allowlist; exact request schema and fixture ID from current source/UI.</x:v>
      </x:c>
      <x:c r="I321" s="10" t="str">
        <x:v>Inspect route and delegated service contract for query/body/allowed actions. Capture a valid request from QA UI, replace dynamic IDs with owned fixture IDs, replay GET /api/attention once in isolated environment. Check status/body/headers and exact database/job effects.</x:v>
      </x:c>
      <x:c r="J321" s="10" t="str">
        <x:v>Valid supported request returns documented result; expected mutations only. Public/token endpoints follow their own policy; no assumption of a universal 200/401 response.</x:v>
      </x:c>
      <x:c r="K321" s="11" t="str"/>
      <x:c r="L321" s="11" t="str">
        <x:v>Not run</x:v>
      </x:c>
      <x:c r="M321" s="11" t="str"/>
      <x:c r="N321" s="11" t="str"/>
      <x:c r="O321" s="11" t="str"/>
      <x:c r="P321" s="11" t="str"/>
      <x:c r="Q321" s="11" t="str"/>
      <x:c r="R321" s="11" t="str"/>
      <x:c r="S321" s="10" t="str">
        <x:v>Sanitized HTTP request/response + before/after query</x:v>
      </x:c>
      <x:c r="T321" s="10" t="str">
        <x:v>src/app/api/attention/route.ts</x:v>
      </x:c>
      <x:c r="U321" s="10" t="str">
        <x:v>Reconcile tagged fixtures; archive/withdraw only owned test publications. Preserve audit/financial history.</x:v>
      </x:c>
      <x:c r="V321" s="12" t="str">
        <x:f>IF(A321="","",IF(L321="Not run","Pending",IF(OR(L321="Blocked",L321="Not deployed",L321="Not applicable"),IF(OR(K321="",R321=""),"Needs explanation","Recorded"),IF(OR(L321="Pass",L321="Fail"),IF(OR(K321="",M321="",P321=""),"Needs result/evidence/build","Recorded"),"Needs valid status"))))</x:f>
        <x:v>Pending</x:v>
      </x:c>
    </x:row>
    <x:row r="322" ht="66" customHeight="1">
      <x:c r="A322" s="10" t="str">
        <x:v>QA-0318</x:v>
      </x:c>
      <x:c r="B322" s="10" t="str">
        <x:v>T. API contract</x:v>
      </x:c>
      <x:c r="C322" s="10" t="str">
        <x:v>GET /api/auth/[...all]</x:v>
      </x:c>
      <x:c r="D322" s="10" t="str">
        <x:v>/api/auth/[...all]</x:v>
      </x:c>
      <x:c r="E322" s="10" t="str">
        <x:v>Technical tester</x:v>
      </x:c>
      <x:c r="F322" s="10" t="str">
        <x:v>P1</x:v>
      </x:c>
      <x:c r="G322" s="10" t="str">
        <x:v>Isolated only</x:v>
      </x:c>
      <x:c r="H322" s="10" t="str">
        <x:v>Isolated app/database; providers disabled or QA allowlist; exact request schema and fixture ID from current source/UI.</x:v>
      </x:c>
      <x:c r="I322" s="10" t="str">
        <x:v>Inspect route and delegated service contract for query/body/allowed actions. Capture a valid request from QA UI, replace dynamic IDs with owned fixture IDs, replay GET /api/auth/[...all] once in isolated environment. Check status/body/headers and exact database/job effects.</x:v>
      </x:c>
      <x:c r="J322" s="10" t="str">
        <x:v>Valid supported request returns documented result; expected mutations only. Public/token endpoints follow their own policy; no assumption of a universal 200/401 response.</x:v>
      </x:c>
      <x:c r="K322" s="11" t="str"/>
      <x:c r="L322" s="11" t="str">
        <x:v>Not run</x:v>
      </x:c>
      <x:c r="M322" s="11" t="str"/>
      <x:c r="N322" s="11" t="str"/>
      <x:c r="O322" s="11" t="str"/>
      <x:c r="P322" s="11" t="str"/>
      <x:c r="Q322" s="11" t="str"/>
      <x:c r="R322" s="11" t="str"/>
      <x:c r="S322" s="10" t="str">
        <x:v>Sanitized HTTP request/response + before/after query</x:v>
      </x:c>
      <x:c r="T322" s="10" t="str">
        <x:v>src/app/api/auth/[...all]/route.ts</x:v>
      </x:c>
      <x:c r="U322" s="10" t="str">
        <x:v>Reconcile tagged fixtures; archive/withdraw only owned test publications. Preserve audit/financial history.</x:v>
      </x:c>
      <x:c r="V322" s="12" t="str">
        <x:f>IF(A322="","",IF(L322="Not run","Pending",IF(OR(L322="Blocked",L322="Not deployed",L322="Not applicable"),IF(OR(K322="",R322=""),"Needs explanation","Recorded"),IF(OR(L322="Pass",L322="Fail"),IF(OR(K322="",M322="",P322=""),"Needs result/evidence/build","Recorded"),"Needs valid status"))))</x:f>
        <x:v>Pending</x:v>
      </x:c>
    </x:row>
    <x:row r="323" ht="66" customHeight="1">
      <x:c r="A323" s="10" t="str">
        <x:v>QA-0319</x:v>
      </x:c>
      <x:c r="B323" s="10" t="str">
        <x:v>T. API contract</x:v>
      </x:c>
      <x:c r="C323" s="10" t="str">
        <x:v>POST /api/auth/[...all]</x:v>
      </x:c>
      <x:c r="D323" s="10" t="str">
        <x:v>/api/auth/[...all]</x:v>
      </x:c>
      <x:c r="E323" s="10" t="str">
        <x:v>Technical tester</x:v>
      </x:c>
      <x:c r="F323" s="10" t="str">
        <x:v>P0</x:v>
      </x:c>
      <x:c r="G323" s="10" t="str">
        <x:v>Isolated only</x:v>
      </x:c>
      <x:c r="H323" s="10" t="str">
        <x:v>Isolated app/database; providers disabled or QA allowlist; exact request schema and fixture ID from current source/UI.</x:v>
      </x:c>
      <x:c r="I323" s="10" t="str">
        <x:v>Inspect route and delegated service contract for query/body/allowed actions. Capture a valid request from QA UI, replace dynamic IDs with owned fixture IDs, replay POST /api/auth/[...all] once in isolated environment. Check status/body/headers and exact database/job effects.</x:v>
      </x:c>
      <x:c r="J323" s="10" t="str">
        <x:v>Valid supported request returns documented result; expected mutations only. Public/token endpoints follow their own policy; no assumption of a universal 200/401 response.</x:v>
      </x:c>
      <x:c r="K323" s="11" t="str"/>
      <x:c r="L323" s="11" t="str">
        <x:v>Not run</x:v>
      </x:c>
      <x:c r="M323" s="11" t="str"/>
      <x:c r="N323" s="11" t="str"/>
      <x:c r="O323" s="11" t="str"/>
      <x:c r="P323" s="11" t="str"/>
      <x:c r="Q323" s="11" t="str"/>
      <x:c r="R323" s="11" t="str"/>
      <x:c r="S323" s="10" t="str">
        <x:v>Sanitized HTTP request/response + before/after query</x:v>
      </x:c>
      <x:c r="T323" s="10" t="str">
        <x:v>src/app/api/auth/[...all]/route.ts</x:v>
      </x:c>
      <x:c r="U323" s="10" t="str">
        <x:v>Reconcile tagged fixtures; archive/withdraw only owned test publications. Preserve audit/financial history.</x:v>
      </x:c>
      <x:c r="V323" s="12" t="str">
        <x:f>IF(A323="","",IF(L323="Not run","Pending",IF(OR(L323="Blocked",L323="Not deployed",L323="Not applicable"),IF(OR(K323="",R323=""),"Needs explanation","Recorded"),IF(OR(L323="Pass",L323="Fail"),IF(OR(K323="",M323="",P323=""),"Needs result/evidence/build","Recorded"),"Needs valid status"))))</x:f>
        <x:v>Pending</x:v>
      </x:c>
    </x:row>
    <x:row r="324" ht="66" customHeight="1">
      <x:c r="A324" s="10" t="str">
        <x:v>QA-0320</x:v>
      </x:c>
      <x:c r="B324" s="10" t="str">
        <x:v>T. API contract</x:v>
      </x:c>
      <x:c r="C324" s="10" t="str">
        <x:v>GET /api/documents/[id]</x:v>
      </x:c>
      <x:c r="D324" s="10" t="str">
        <x:v>/api/documents/[id]</x:v>
      </x:c>
      <x:c r="E324" s="10" t="str">
        <x:v>Technical tester</x:v>
      </x:c>
      <x:c r="F324" s="10" t="str">
        <x:v>P1</x:v>
      </x:c>
      <x:c r="G324" s="10" t="str">
        <x:v>Isolated only</x:v>
      </x:c>
      <x:c r="H324" s="10" t="str">
        <x:v>Isolated app/database; providers disabled or QA allowlist; exact request schema and fixture ID from current source/UI.</x:v>
      </x:c>
      <x:c r="I324" s="10" t="str">
        <x:v>Inspect route and delegated service contract for query/body/allowed actions. Capture a valid request from QA UI, replace dynamic IDs with owned fixture IDs, replay GET /api/documents/[id] once in isolated environment. Check status/body/headers and exact database/job effects.</x:v>
      </x:c>
      <x:c r="J324" s="10" t="str">
        <x:v>Valid supported request returns documented result; expected mutations only. Public/token endpoints follow their own policy; no assumption of a universal 200/401 response.</x:v>
      </x:c>
      <x:c r="K324" s="11" t="str"/>
      <x:c r="L324" s="11" t="str">
        <x:v>Not run</x:v>
      </x:c>
      <x:c r="M324" s="11" t="str"/>
      <x:c r="N324" s="11" t="str"/>
      <x:c r="O324" s="11" t="str"/>
      <x:c r="P324" s="11" t="str"/>
      <x:c r="Q324" s="11" t="str"/>
      <x:c r="R324" s="11" t="str"/>
      <x:c r="S324" s="10" t="str">
        <x:v>Sanitized HTTP request/response + before/after query</x:v>
      </x:c>
      <x:c r="T324" s="10" t="str">
        <x:v>src/app/api/documents/[id]/route.ts</x:v>
      </x:c>
      <x:c r="U324" s="10" t="str">
        <x:v>Reconcile tagged fixtures; archive/withdraw only owned test publications. Preserve audit/financial history.</x:v>
      </x:c>
      <x:c r="V324" s="12" t="str">
        <x:f>IF(A324="","",IF(L324="Not run","Pending",IF(OR(L324="Blocked",L324="Not deployed",L324="Not applicable"),IF(OR(K324="",R324=""),"Needs explanation","Recorded"),IF(OR(L324="Pass",L324="Fail"),IF(OR(K324="",M324="",P324=""),"Needs result/evidence/build","Recorded"),"Needs valid status"))))</x:f>
        <x:v>Pending</x:v>
      </x:c>
    </x:row>
    <x:row r="325" ht="52" customHeight="1">
      <x:c r="A325" s="10" t="str">
        <x:v>QA-0321</x:v>
      </x:c>
      <x:c r="B325" s="10" t="str">
        <x:v>T. API contract</x:v>
      </x:c>
      <x:c r="C325" s="10" t="str">
        <x:v>GET boundary: /api/documents/[id]</x:v>
      </x:c>
      <x:c r="D325" s="10" t="str">
        <x:v>/api/documents/[id]</x:v>
      </x:c>
      <x:c r="E325" s="10" t="str">
        <x:v>Technical tester</x:v>
      </x:c>
      <x:c r="F325" s="10" t="str">
        <x:v>P0</x:v>
      </x:c>
      <x:c r="G325" s="10" t="str">
        <x:v>Isolated only</x:v>
      </x:c>
      <x:c r="H325" s="10" t="str">
        <x:v>Record deployed build. Use assigned test accounts, synthetic data and approved fixtures/recipients only.</x:v>
      </x:c>
      <x:c r="I325" s="10" t="str">
        <x:v>Using isolated fixtures, replay GET /api/documents/[id] as anonymous, ordinary member, unrelated staff role and wrong owner as applicable. Test every current supported action separately; record authorization differences.</x:v>
      </x:c>
      <x:c r="J325" s="10" t="str">
        <x:v>Authorization matches action-specific grants/ownership/publication; authorized exceptions remain allowed and all unauthorized reads/writes denied without private leakage.</x:v>
      </x:c>
      <x:c r="K325" s="11" t="str"/>
      <x:c r="L325" s="11" t="str">
        <x:v>Not run</x:v>
      </x:c>
      <x:c r="M325" s="11" t="str"/>
      <x:c r="N325" s="11" t="str"/>
      <x:c r="O325" s="11" t="str"/>
      <x:c r="P325" s="11" t="str"/>
      <x:c r="Q325" s="11" t="str"/>
      <x:c r="R325" s="11" t="str"/>
      <x:c r="S325" s="10" t="str">
        <x:v>Role/request matrix + response + unchanged database</x:v>
      </x:c>
      <x:c r="T325" s="10" t="str">
        <x:v>src/app/api/documents/[id]/route.ts</x:v>
      </x:c>
      <x:c r="U325" s="10" t="str">
        <x:v>Reconcile tagged fixtures; archive/withdraw only owned test publications. Preserve audit/financial history.</x:v>
      </x:c>
      <x:c r="V325" s="12" t="str">
        <x:f>IF(A325="","",IF(L325="Not run","Pending",IF(OR(L325="Blocked",L325="Not deployed",L325="Not applicable"),IF(OR(K325="",R325=""),"Needs explanation","Recorded"),IF(OR(L325="Pass",L325="Fail"),IF(OR(K325="",M325="",P325=""),"Needs result/evidence/build","Recorded"),"Needs valid status"))))</x:f>
        <x:v>Pending</x:v>
      </x:c>
    </x:row>
    <x:row r="326" ht="66" customHeight="1">
      <x:c r="A326" s="10" t="str">
        <x:v>QA-0322</x:v>
      </x:c>
      <x:c r="B326" s="10" t="str">
        <x:v>T. API contract</x:v>
      </x:c>
      <x:c r="C326" s="10" t="str">
        <x:v>GET /api/documents</x:v>
      </x:c>
      <x:c r="D326" s="10" t="str">
        <x:v>/api/documents</x:v>
      </x:c>
      <x:c r="E326" s="10" t="str">
        <x:v>Technical tester</x:v>
      </x:c>
      <x:c r="F326" s="10" t="str">
        <x:v>P1</x:v>
      </x:c>
      <x:c r="G326" s="10" t="str">
        <x:v>Isolated only</x:v>
      </x:c>
      <x:c r="H326" s="10" t="str">
        <x:v>Isolated app/database; providers disabled or QA allowlist; exact request schema and fixture ID from current source/UI.</x:v>
      </x:c>
      <x:c r="I326" s="10" t="str">
        <x:v>Inspect route and delegated service contract for query/body/allowed actions. Capture a valid request from QA UI, replace dynamic IDs with owned fixture IDs, replay GET /api/documents once in isolated environment. Check status/body/headers and exact database/job effects.</x:v>
      </x:c>
      <x:c r="J326" s="10" t="str">
        <x:v>Valid supported request returns documented result; expected mutations only. Public/token endpoints follow their own policy; no assumption of a universal 200/401 response.</x:v>
      </x:c>
      <x:c r="K326" s="11" t="str"/>
      <x:c r="L326" s="11" t="str">
        <x:v>Not run</x:v>
      </x:c>
      <x:c r="M326" s="11" t="str"/>
      <x:c r="N326" s="11" t="str"/>
      <x:c r="O326" s="11" t="str"/>
      <x:c r="P326" s="11" t="str"/>
      <x:c r="Q326" s="11" t="str"/>
      <x:c r="R326" s="11" t="str"/>
      <x:c r="S326" s="10" t="str">
        <x:v>Sanitized HTTP request/response + before/after query</x:v>
      </x:c>
      <x:c r="T326" s="10" t="str">
        <x:v>src/app/api/documents/route.ts</x:v>
      </x:c>
      <x:c r="U326" s="10" t="str">
        <x:v>Reconcile tagged fixtures; archive/withdraw only owned test publications. Preserve audit/financial history.</x:v>
      </x:c>
      <x:c r="V326" s="12" t="str">
        <x:f>IF(A326="","",IF(L326="Not run","Pending",IF(OR(L326="Blocked",L326="Not deployed",L326="Not applicable"),IF(OR(K326="",R326=""),"Needs explanation","Recorded"),IF(OR(L326="Pass",L326="Fail"),IF(OR(K326="",M326="",P326=""),"Needs result/evidence/build","Recorded"),"Needs valid status"))))</x:f>
        <x:v>Pending</x:v>
      </x:c>
    </x:row>
    <x:row r="327" ht="52" customHeight="1">
      <x:c r="A327" s="10" t="str">
        <x:v>QA-0323</x:v>
      </x:c>
      <x:c r="B327" s="10" t="str">
        <x:v>T. API contract</x:v>
      </x:c>
      <x:c r="C327" s="10" t="str">
        <x:v>GET boundary: /api/documents</x:v>
      </x:c>
      <x:c r="D327" s="10" t="str">
        <x:v>/api/documents</x:v>
      </x:c>
      <x:c r="E327" s="10" t="str">
        <x:v>Technical tester</x:v>
      </x:c>
      <x:c r="F327" s="10" t="str">
        <x:v>P0</x:v>
      </x:c>
      <x:c r="G327" s="10" t="str">
        <x:v>Isolated only</x:v>
      </x:c>
      <x:c r="H327" s="10" t="str">
        <x:v>Record deployed build. Use assigned test accounts, synthetic data and approved fixtures/recipients only.</x:v>
      </x:c>
      <x:c r="I327" s="10" t="str">
        <x:v>Using isolated fixtures, replay GET /api/documents as anonymous, ordinary member, unrelated staff role and wrong owner as applicable. Test every current supported action separately; record authorization differences.</x:v>
      </x:c>
      <x:c r="J327" s="10" t="str">
        <x:v>Authorization matches action-specific grants/ownership/publication; authorized exceptions remain allowed and all unauthorized reads/writes denied without private leakage.</x:v>
      </x:c>
      <x:c r="K327" s="11" t="str"/>
      <x:c r="L327" s="11" t="str">
        <x:v>Not run</x:v>
      </x:c>
      <x:c r="M327" s="11" t="str"/>
      <x:c r="N327" s="11" t="str"/>
      <x:c r="O327" s="11" t="str"/>
      <x:c r="P327" s="11" t="str"/>
      <x:c r="Q327" s="11" t="str"/>
      <x:c r="R327" s="11" t="str"/>
      <x:c r="S327" s="10" t="str">
        <x:v>Role/request matrix + response + unchanged database</x:v>
      </x:c>
      <x:c r="T327" s="10" t="str">
        <x:v>src/app/api/documents/route.ts</x:v>
      </x:c>
      <x:c r="U327" s="10" t="str">
        <x:v>Reconcile tagged fixtures; archive/withdraw only owned test publications. Preserve audit/financial history.</x:v>
      </x:c>
      <x:c r="V327" s="12" t="str">
        <x:f>IF(A327="","",IF(L327="Not run","Pending",IF(OR(L327="Blocked",L327="Not deployed",L327="Not applicable"),IF(OR(K327="",R327=""),"Needs explanation","Recorded"),IF(OR(L327="Pass",L327="Fail"),IF(OR(K327="",M327="",P327=""),"Needs result/evidence/build","Recorded"),"Needs valid status"))))</x:f>
        <x:v>Pending</x:v>
      </x:c>
    </x:row>
    <x:row r="328" ht="66" customHeight="1">
      <x:c r="A328" s="10" t="str">
        <x:v>QA-0324</x:v>
      </x:c>
      <x:c r="B328" s="10" t="str">
        <x:v>T. API contract</x:v>
      </x:c>
      <x:c r="C328" s="10" t="str">
        <x:v>POST /api/documents</x:v>
      </x:c>
      <x:c r="D328" s="10" t="str">
        <x:v>/api/documents</x:v>
      </x:c>
      <x:c r="E328" s="10" t="str">
        <x:v>Technical tester</x:v>
      </x:c>
      <x:c r="F328" s="10" t="str">
        <x:v>P0</x:v>
      </x:c>
      <x:c r="G328" s="10" t="str">
        <x:v>Isolated only</x:v>
      </x:c>
      <x:c r="H328" s="10" t="str">
        <x:v>Isolated app/database; providers disabled or QA allowlist; exact request schema and fixture ID from current source/UI.</x:v>
      </x:c>
      <x:c r="I328" s="10" t="str">
        <x:v>Inspect route and delegated service contract for query/body/allowed actions. Capture a valid request from QA UI, replace dynamic IDs with owned fixture IDs, replay POST /api/documents once in isolated environment. Check status/body/headers and exact database/job effects.</x:v>
      </x:c>
      <x:c r="J328" s="10" t="str">
        <x:v>Valid supported request returns documented result; expected mutations only. Public/token endpoints follow their own policy; no assumption of a universal 200/401 response.</x:v>
      </x:c>
      <x:c r="K328" s="11" t="str"/>
      <x:c r="L328" s="11" t="str">
        <x:v>Not run</x:v>
      </x:c>
      <x:c r="M328" s="11" t="str"/>
      <x:c r="N328" s="11" t="str"/>
      <x:c r="O328" s="11" t="str"/>
      <x:c r="P328" s="11" t="str"/>
      <x:c r="Q328" s="11" t="str"/>
      <x:c r="R328" s="11" t="str"/>
      <x:c r="S328" s="10" t="str">
        <x:v>Sanitized HTTP request/response + before/after query</x:v>
      </x:c>
      <x:c r="T328" s="10" t="str">
        <x:v>src/app/api/documents/route.ts</x:v>
      </x:c>
      <x:c r="U328" s="10" t="str">
        <x:v>Reconcile tagged fixtures; archive/withdraw only owned test publications. Preserve audit/financial history.</x:v>
      </x:c>
      <x:c r="V328" s="12" t="str">
        <x:f>IF(A328="","",IF(L328="Not run","Pending",IF(OR(L328="Blocked",L328="Not deployed",L328="Not applicable"),IF(OR(K328="",R328=""),"Needs explanation","Recorded"),IF(OR(L328="Pass",L328="Fail"),IF(OR(K328="",M328="",P328=""),"Needs result/evidence/build","Recorded"),"Needs valid status"))))</x:f>
        <x:v>Pending</x:v>
      </x:c>
    </x:row>
    <x:row r="329" ht="52" customHeight="1">
      <x:c r="A329" s="10" t="str">
        <x:v>QA-0325</x:v>
      </x:c>
      <x:c r="B329" s="10" t="str">
        <x:v>T. API contract</x:v>
      </x:c>
      <x:c r="C329" s="10" t="str">
        <x:v>POST boundary: /api/documents</x:v>
      </x:c>
      <x:c r="D329" s="10" t="str">
        <x:v>/api/documents</x:v>
      </x:c>
      <x:c r="E329" s="10" t="str">
        <x:v>Technical tester</x:v>
      </x:c>
      <x:c r="F329" s="10" t="str">
        <x:v>P0</x:v>
      </x:c>
      <x:c r="G329" s="10" t="str">
        <x:v>Isolated only</x:v>
      </x:c>
      <x:c r="H329" s="10" t="str">
        <x:v>Record deployed build. Use assigned test accounts, synthetic data and approved fixtures/recipients only.</x:v>
      </x:c>
      <x:c r="I329" s="10" t="str">
        <x:v>Using isolated fixtures, replay POST /api/documents as anonymous, ordinary member, unrelated staff role and wrong owner as applicable. Test every current supported action separately; record authorization differences.</x:v>
      </x:c>
      <x:c r="J329" s="10" t="str">
        <x:v>Authorization matches action-specific grants/ownership/publication; authorized exceptions remain allowed and all unauthorized reads/writes denied without private leakage.</x:v>
      </x:c>
      <x:c r="K329" s="11" t="str"/>
      <x:c r="L329" s="11" t="str">
        <x:v>Not run</x:v>
      </x:c>
      <x:c r="M329" s="11" t="str"/>
      <x:c r="N329" s="11" t="str"/>
      <x:c r="O329" s="11" t="str"/>
      <x:c r="P329" s="11" t="str"/>
      <x:c r="Q329" s="11" t="str"/>
      <x:c r="R329" s="11" t="str"/>
      <x:c r="S329" s="10" t="str">
        <x:v>Role/request matrix + response + unchanged database</x:v>
      </x:c>
      <x:c r="T329" s="10" t="str">
        <x:v>src/app/api/documents/route.ts</x:v>
      </x:c>
      <x:c r="U329" s="10" t="str">
        <x:v>Reconcile tagged fixtures; archive/withdraw only owned test publications. Preserve audit/financial history.</x:v>
      </x:c>
      <x:c r="V329" s="12" t="str">
        <x:f>IF(A329="","",IF(L329="Not run","Pending",IF(OR(L329="Blocked",L329="Not deployed",L329="Not applicable"),IF(OR(K329="",R329=""),"Needs explanation","Recorded"),IF(OR(L329="Pass",L329="Fail"),IF(OR(K329="",M329="",P329=""),"Needs result/evidence/build","Recorded"),"Needs valid status"))))</x:f>
        <x:v>Pending</x:v>
      </x:c>
    </x:row>
    <x:row r="330" ht="66" customHeight="1">
      <x:c r="A330" s="10" t="str">
        <x:v>QA-0326</x:v>
      </x:c>
      <x:c r="B330" s="10" t="str">
        <x:v>T. API contract</x:v>
      </x:c>
      <x:c r="C330" s="10" t="str">
        <x:v>GET /api/email/unsubscribe</x:v>
      </x:c>
      <x:c r="D330" s="10" t="str">
        <x:v>/api/email/unsubscribe</x:v>
      </x:c>
      <x:c r="E330" s="10" t="str">
        <x:v>Technical tester</x:v>
      </x:c>
      <x:c r="F330" s="10" t="str">
        <x:v>P1</x:v>
      </x:c>
      <x:c r="G330" s="10" t="str">
        <x:v>Isolated only</x:v>
      </x:c>
      <x:c r="H330" s="10" t="str">
        <x:v>Isolated app/database; providers disabled or QA allowlist; exact request schema and fixture ID from current source/UI.</x:v>
      </x:c>
      <x:c r="I330" s="10" t="str">
        <x:v>Inspect route and delegated service contract for query/body/allowed actions. Capture a valid request from QA UI, replace dynamic IDs with owned fixture IDs, replay GET /api/email/unsubscribe once in isolated environment. Check status/body/headers and exact database/job effects.</x:v>
      </x:c>
      <x:c r="J330" s="10" t="str">
        <x:v>Valid supported request returns documented result; expected mutations only. Public/token endpoints follow their own policy; no assumption of a universal 200/401 response.</x:v>
      </x:c>
      <x:c r="K330" s="11" t="str"/>
      <x:c r="L330" s="11" t="str">
        <x:v>Not run</x:v>
      </x:c>
      <x:c r="M330" s="11" t="str"/>
      <x:c r="N330" s="11" t="str"/>
      <x:c r="O330" s="11" t="str"/>
      <x:c r="P330" s="11" t="str"/>
      <x:c r="Q330" s="11" t="str"/>
      <x:c r="R330" s="11" t="str"/>
      <x:c r="S330" s="10" t="str">
        <x:v>Sanitized HTTP request/response + before/after query</x:v>
      </x:c>
      <x:c r="T330" s="10" t="str">
        <x:v>src/app/api/email/unsubscribe/route.ts</x:v>
      </x:c>
      <x:c r="U330" s="10" t="str">
        <x:v>Reconcile tagged fixtures; archive/withdraw only owned test publications. Preserve audit/financial history.</x:v>
      </x:c>
      <x:c r="V330" s="12" t="str">
        <x:f>IF(A330="","",IF(L330="Not run","Pending",IF(OR(L330="Blocked",L330="Not deployed",L330="Not applicable"),IF(OR(K330="",R330=""),"Needs explanation","Recorded"),IF(OR(L330="Pass",L330="Fail"),IF(OR(K330="",M330="",P330=""),"Needs result/evidence/build","Recorded"),"Needs valid status"))))</x:f>
        <x:v>Pending</x:v>
      </x:c>
    </x:row>
    <x:row r="331" ht="66" customHeight="1">
      <x:c r="A331" s="10" t="str">
        <x:v>QA-0327</x:v>
      </x:c>
      <x:c r="B331" s="10" t="str">
        <x:v>T. API contract</x:v>
      </x:c>
      <x:c r="C331" s="10" t="str">
        <x:v>POST /api/email/unsubscribe</x:v>
      </x:c>
      <x:c r="D331" s="10" t="str">
        <x:v>/api/email/unsubscribe</x:v>
      </x:c>
      <x:c r="E331" s="10" t="str">
        <x:v>Technical tester</x:v>
      </x:c>
      <x:c r="F331" s="10" t="str">
        <x:v>P0</x:v>
      </x:c>
      <x:c r="G331" s="10" t="str">
        <x:v>Isolated only</x:v>
      </x:c>
      <x:c r="H331" s="10" t="str">
        <x:v>Isolated app/database; providers disabled or QA allowlist; exact request schema and fixture ID from current source/UI.</x:v>
      </x:c>
      <x:c r="I331" s="10" t="str">
        <x:v>Inspect route and delegated service contract for query/body/allowed actions. Capture a valid request from QA UI, replace dynamic IDs with owned fixture IDs, replay POST /api/email/unsubscribe once in isolated environment. Check status/body/headers and exact database/job effects.</x:v>
      </x:c>
      <x:c r="J331" s="10" t="str">
        <x:v>Valid supported request returns documented result; expected mutations only. Public/token endpoints follow their own policy; no assumption of a universal 200/401 response.</x:v>
      </x:c>
      <x:c r="K331" s="11" t="str"/>
      <x:c r="L331" s="11" t="str">
        <x:v>Not run</x:v>
      </x:c>
      <x:c r="M331" s="11" t="str"/>
      <x:c r="N331" s="11" t="str"/>
      <x:c r="O331" s="11" t="str"/>
      <x:c r="P331" s="11" t="str"/>
      <x:c r="Q331" s="11" t="str"/>
      <x:c r="R331" s="11" t="str"/>
      <x:c r="S331" s="10" t="str">
        <x:v>Sanitized HTTP request/response + before/after query</x:v>
      </x:c>
      <x:c r="T331" s="10" t="str">
        <x:v>src/app/api/email/unsubscribe/route.ts</x:v>
      </x:c>
      <x:c r="U331" s="10" t="str">
        <x:v>Reconcile tagged fixtures; archive/withdraw only owned test publications. Preserve audit/financial history.</x:v>
      </x:c>
      <x:c r="V331" s="12" t="str">
        <x:f>IF(A331="","",IF(L331="Not run","Pending",IF(OR(L331="Blocked",L331="Not deployed",L331="Not applicable"),IF(OR(K331="",R331=""),"Needs explanation","Recorded"),IF(OR(L331="Pass",L331="Fail"),IF(OR(K331="",M331="",P331=""),"Needs result/evidence/build","Recorded"),"Needs valid status"))))</x:f>
        <x:v>Pending</x:v>
      </x:c>
    </x:row>
    <x:row r="332" ht="66" customHeight="1">
      <x:c r="A332" s="10" t="str">
        <x:v>QA-0328</x:v>
      </x:c>
      <x:c r="B332" s="10" t="str">
        <x:v>T. API contract</x:v>
      </x:c>
      <x:c r="C332" s="10" t="str">
        <x:v>GET /api/event-assets/[id]</x:v>
      </x:c>
      <x:c r="D332" s="10" t="str">
        <x:v>/api/event-assets/[id]</x:v>
      </x:c>
      <x:c r="E332" s="10" t="str">
        <x:v>Technical tester</x:v>
      </x:c>
      <x:c r="F332" s="10" t="str">
        <x:v>P1</x:v>
      </x:c>
      <x:c r="G332" s="10" t="str">
        <x:v>Isolated only</x:v>
      </x:c>
      <x:c r="H332" s="10" t="str">
        <x:v>Isolated app/database; providers disabled or QA allowlist; exact request schema and fixture ID from current source/UI.</x:v>
      </x:c>
      <x:c r="I332" s="10" t="str">
        <x:v>Inspect route and delegated service contract for query/body/allowed actions. Capture a valid request from QA UI, replace dynamic IDs with owned fixture IDs, replay GET /api/event-assets/[id] once in isolated environment. Check status/body/headers and exact database/job effects.</x:v>
      </x:c>
      <x:c r="J332" s="10" t="str">
        <x:v>Valid supported request returns documented result; expected mutations only. Public/token endpoints follow their own policy; no assumption of a universal 200/401 response.</x:v>
      </x:c>
      <x:c r="K332" s="11" t="str"/>
      <x:c r="L332" s="11" t="str">
        <x:v>Not run</x:v>
      </x:c>
      <x:c r="M332" s="11" t="str"/>
      <x:c r="N332" s="11" t="str"/>
      <x:c r="O332" s="11" t="str"/>
      <x:c r="P332" s="11" t="str"/>
      <x:c r="Q332" s="11" t="str"/>
      <x:c r="R332" s="11" t="str"/>
      <x:c r="S332" s="10" t="str">
        <x:v>Sanitized HTTP request/response + before/after query</x:v>
      </x:c>
      <x:c r="T332" s="10" t="str">
        <x:v>src/app/api/event-assets/[id]/route.ts</x:v>
      </x:c>
      <x:c r="U332" s="10" t="str">
        <x:v>Reconcile tagged fixtures; archive/withdraw only owned test publications. Preserve audit/financial history.</x:v>
      </x:c>
      <x:c r="V332" s="12" t="str">
        <x:f>IF(A332="","",IF(L332="Not run","Pending",IF(OR(L332="Blocked",L332="Not deployed",L332="Not applicable"),IF(OR(K332="",R332=""),"Needs explanation","Recorded"),IF(OR(L332="Pass",L332="Fail"),IF(OR(K332="",M332="",P332=""),"Needs result/evidence/build","Recorded"),"Needs valid status"))))</x:f>
        <x:v>Pending</x:v>
      </x:c>
    </x:row>
    <x:row r="333" ht="52" customHeight="1">
      <x:c r="A333" s="10" t="str">
        <x:v>QA-0329</x:v>
      </x:c>
      <x:c r="B333" s="10" t="str">
        <x:v>T. API contract</x:v>
      </x:c>
      <x:c r="C333" s="10" t="str">
        <x:v>GET boundary: /api/event-assets/[id]</x:v>
      </x:c>
      <x:c r="D333" s="10" t="str">
        <x:v>/api/event-assets/[id]</x:v>
      </x:c>
      <x:c r="E333" s="10" t="str">
        <x:v>Technical tester</x:v>
      </x:c>
      <x:c r="F333" s="10" t="str">
        <x:v>P0</x:v>
      </x:c>
      <x:c r="G333" s="10" t="str">
        <x:v>Isolated only</x:v>
      </x:c>
      <x:c r="H333" s="10" t="str">
        <x:v>Record deployed build. Use assigned test accounts, synthetic data and approved fixtures/recipients only.</x:v>
      </x:c>
      <x:c r="I333" s="10" t="str">
        <x:v>Using isolated fixtures, replay GET /api/event-assets/[id] as anonymous, ordinary member, unrelated staff role and wrong owner as applicable. Test every current supported action separately; record authorization differences.</x:v>
      </x:c>
      <x:c r="J333" s="10" t="str">
        <x:v>Authorization matches action-specific grants/ownership/publication; authorized exceptions remain allowed and all unauthorized reads/writes denied without private leakage.</x:v>
      </x:c>
      <x:c r="K333" s="11" t="str"/>
      <x:c r="L333" s="11" t="str">
        <x:v>Not run</x:v>
      </x:c>
      <x:c r="M333" s="11" t="str"/>
      <x:c r="N333" s="11" t="str"/>
      <x:c r="O333" s="11" t="str"/>
      <x:c r="P333" s="11" t="str"/>
      <x:c r="Q333" s="11" t="str"/>
      <x:c r="R333" s="11" t="str"/>
      <x:c r="S333" s="10" t="str">
        <x:v>Role/request matrix + response + unchanged database</x:v>
      </x:c>
      <x:c r="T333" s="10" t="str">
        <x:v>src/app/api/event-assets/[id]/route.ts</x:v>
      </x:c>
      <x:c r="U333" s="10" t="str">
        <x:v>Reconcile tagged fixtures; archive/withdraw only owned test publications. Preserve audit/financial history.</x:v>
      </x:c>
      <x:c r="V333" s="12" t="str">
        <x:f>IF(A333="","",IF(L333="Not run","Pending",IF(OR(L333="Blocked",L333="Not deployed",L333="Not applicable"),IF(OR(K333="",R333=""),"Needs explanation","Recorded"),IF(OR(L333="Pass",L333="Fail"),IF(OR(K333="",M333="",P333=""),"Needs result/evidence/build","Recorded"),"Needs valid status"))))</x:f>
        <x:v>Pending</x:v>
      </x:c>
    </x:row>
    <x:row r="334" ht="66" customHeight="1">
      <x:c r="A334" s="10" t="str">
        <x:v>QA-0330</x:v>
      </x:c>
      <x:c r="B334" s="10" t="str">
        <x:v>T. API contract</x:v>
      </x:c>
      <x:c r="C334" s="10" t="str">
        <x:v>GET /api/health</x:v>
      </x:c>
      <x:c r="D334" s="10" t="str">
        <x:v>/api/health</x:v>
      </x:c>
      <x:c r="E334" s="10" t="str">
        <x:v>Technical tester</x:v>
      </x:c>
      <x:c r="F334" s="10" t="str">
        <x:v>P1</x:v>
      </x:c>
      <x:c r="G334" s="10" t="str">
        <x:v>Isolated only</x:v>
      </x:c>
      <x:c r="H334" s="10" t="str">
        <x:v>Isolated app/database; providers disabled or QA allowlist; exact request schema and fixture ID from current source/UI.</x:v>
      </x:c>
      <x:c r="I334" s="10" t="str">
        <x:v>Inspect route and delegated service contract for query/body/allowed actions. Capture a valid request from QA UI, replace dynamic IDs with owned fixture IDs, replay GET /api/health once in isolated environment. Check status/body/headers and exact database/job effects.</x:v>
      </x:c>
      <x:c r="J334" s="10" t="str">
        <x:v>Valid supported request returns documented result; expected mutations only. Public/token endpoints follow their own policy; no assumption of a universal 200/401 response.</x:v>
      </x:c>
      <x:c r="K334" s="11" t="str"/>
      <x:c r="L334" s="11" t="str">
        <x:v>Not run</x:v>
      </x:c>
      <x:c r="M334" s="11" t="str"/>
      <x:c r="N334" s="11" t="str"/>
      <x:c r="O334" s="11" t="str"/>
      <x:c r="P334" s="11" t="str"/>
      <x:c r="Q334" s="11" t="str"/>
      <x:c r="R334" s="11" t="str"/>
      <x:c r="S334" s="10" t="str">
        <x:v>Sanitized HTTP request/response + before/after query</x:v>
      </x:c>
      <x:c r="T334" s="10" t="str">
        <x:v>src/app/api/health/route.ts</x:v>
      </x:c>
      <x:c r="U334" s="10" t="str">
        <x:v>Reconcile tagged fixtures; archive/withdraw only owned test publications. Preserve audit/financial history.</x:v>
      </x:c>
      <x:c r="V334" s="12" t="str">
        <x:f>IF(A334="","",IF(L334="Not run","Pending",IF(OR(L334="Blocked",L334="Not deployed",L334="Not applicable"),IF(OR(K334="",R334=""),"Needs explanation","Recorded"),IF(OR(L334="Pass",L334="Fail"),IF(OR(K334="",M334="",P334=""),"Needs result/evidence/build","Recorded"),"Needs valid status"))))</x:f>
        <x:v>Pending</x:v>
      </x:c>
    </x:row>
    <x:row r="335" ht="66" customHeight="1">
      <x:c r="A335" s="10" t="str">
        <x:v>QA-0331</x:v>
      </x:c>
      <x:c r="B335" s="10" t="str">
        <x:v>T. API contract</x:v>
      </x:c>
      <x:c r="C335" s="10" t="str">
        <x:v>POST /api/inquiries</x:v>
      </x:c>
      <x:c r="D335" s="10" t="str">
        <x:v>/api/inquiries</x:v>
      </x:c>
      <x:c r="E335" s="10" t="str">
        <x:v>Technical tester</x:v>
      </x:c>
      <x:c r="F335" s="10" t="str">
        <x:v>P0</x:v>
      </x:c>
      <x:c r="G335" s="10" t="str">
        <x:v>Isolated only</x:v>
      </x:c>
      <x:c r="H335" s="10" t="str">
        <x:v>Isolated app/database; providers disabled or QA allowlist; exact request schema and fixture ID from current source/UI.</x:v>
      </x:c>
      <x:c r="I335" s="10" t="str">
        <x:v>Inspect route and delegated service contract for query/body/allowed actions. Capture a valid request from QA UI, replace dynamic IDs with owned fixture IDs, replay POST /api/inquiries once in isolated environment. Check status/body/headers and exact database/job effects.</x:v>
      </x:c>
      <x:c r="J335" s="10" t="str">
        <x:v>Valid supported request returns documented result; expected mutations only. Public/token endpoints follow their own policy; no assumption of a universal 200/401 response.</x:v>
      </x:c>
      <x:c r="K335" s="11" t="str"/>
      <x:c r="L335" s="11" t="str">
        <x:v>Not run</x:v>
      </x:c>
      <x:c r="M335" s="11" t="str"/>
      <x:c r="N335" s="11" t="str"/>
      <x:c r="O335" s="11" t="str"/>
      <x:c r="P335" s="11" t="str"/>
      <x:c r="Q335" s="11" t="str"/>
      <x:c r="R335" s="11" t="str"/>
      <x:c r="S335" s="10" t="str">
        <x:v>Sanitized HTTP request/response + before/after query</x:v>
      </x:c>
      <x:c r="T335" s="10" t="str">
        <x:v>src/app/api/inquiries/route.ts</x:v>
      </x:c>
      <x:c r="U335" s="10" t="str">
        <x:v>Reconcile tagged fixtures; archive/withdraw only owned test publications. Preserve audit/financial history.</x:v>
      </x:c>
      <x:c r="V335" s="12" t="str">
        <x:f>IF(A335="","",IF(L335="Not run","Pending",IF(OR(L335="Blocked",L335="Not deployed",L335="Not applicable"),IF(OR(K335="",R335=""),"Needs explanation","Recorded"),IF(OR(L335="Pass",L335="Fail"),IF(OR(K335="",M335="",P335=""),"Needs result/evidence/build","Recorded"),"Needs valid status"))))</x:f>
        <x:v>Pending</x:v>
      </x:c>
    </x:row>
    <x:row r="336" ht="66" customHeight="1">
      <x:c r="A336" s="10" t="str">
        <x:v>QA-0332</x:v>
      </x:c>
      <x:c r="B336" s="10" t="str">
        <x:v>T. API contract</x:v>
      </x:c>
      <x:c r="C336" s="10" t="str">
        <x:v>GET /api/locations</x:v>
      </x:c>
      <x:c r="D336" s="10" t="str">
        <x:v>/api/locations</x:v>
      </x:c>
      <x:c r="E336" s="10" t="str">
        <x:v>Technical tester</x:v>
      </x:c>
      <x:c r="F336" s="10" t="str">
        <x:v>P1</x:v>
      </x:c>
      <x:c r="G336" s="10" t="str">
        <x:v>Isolated only</x:v>
      </x:c>
      <x:c r="H336" s="10" t="str">
        <x:v>Isolated app/database; providers disabled or QA allowlist; exact request schema and fixture ID from current source/UI.</x:v>
      </x:c>
      <x:c r="I336" s="10" t="str">
        <x:v>Inspect route and delegated service contract for query/body/allowed actions. Capture a valid request from QA UI, replace dynamic IDs with owned fixture IDs, replay GET /api/locations once in isolated environment. Check status/body/headers and exact database/job effects.</x:v>
      </x:c>
      <x:c r="J336" s="10" t="str">
        <x:v>Valid supported request returns documented result; expected mutations only. Public/token endpoints follow their own policy; no assumption of a universal 200/401 response.</x:v>
      </x:c>
      <x:c r="K336" s="11" t="str"/>
      <x:c r="L336" s="11" t="str">
        <x:v>Not run</x:v>
      </x:c>
      <x:c r="M336" s="11" t="str"/>
      <x:c r="N336" s="11" t="str"/>
      <x:c r="O336" s="11" t="str"/>
      <x:c r="P336" s="11" t="str"/>
      <x:c r="Q336" s="11" t="str"/>
      <x:c r="R336" s="11" t="str"/>
      <x:c r="S336" s="10" t="str">
        <x:v>Sanitized HTTP request/response + before/after query</x:v>
      </x:c>
      <x:c r="T336" s="10" t="str">
        <x:v>src/app/api/locations/route.ts</x:v>
      </x:c>
      <x:c r="U336" s="10" t="str">
        <x:v>Reconcile tagged fixtures; archive/withdraw only owned test publications. Preserve audit/financial history.</x:v>
      </x:c>
      <x:c r="V336" s="12" t="str">
        <x:f>IF(A336="","",IF(L336="Not run","Pending",IF(OR(L336="Blocked",L336="Not deployed",L336="Not applicable"),IF(OR(K336="",R336=""),"Needs explanation","Recorded"),IF(OR(L336="Pass",L336="Fail"),IF(OR(K336="",M336="",P336=""),"Needs result/evidence/build","Recorded"),"Needs valid status"))))</x:f>
        <x:v>Pending</x:v>
      </x:c>
    </x:row>
    <x:row r="337" ht="66" customHeight="1">
      <x:c r="A337" s="10" t="str">
        <x:v>QA-0333</x:v>
      </x:c>
      <x:c r="B337" s="10" t="str">
        <x:v>T. API contract</x:v>
      </x:c>
      <x:c r="C337" s="10" t="str">
        <x:v>GET /api/member/application</x:v>
      </x:c>
      <x:c r="D337" s="10" t="str">
        <x:v>/api/member/application</x:v>
      </x:c>
      <x:c r="E337" s="10" t="str">
        <x:v>Technical tester</x:v>
      </x:c>
      <x:c r="F337" s="10" t="str">
        <x:v>P1</x:v>
      </x:c>
      <x:c r="G337" s="10" t="str">
        <x:v>Isolated only</x:v>
      </x:c>
      <x:c r="H337" s="10" t="str">
        <x:v>Isolated app/database; providers disabled or QA allowlist; exact request schema and fixture ID from current source/UI.</x:v>
      </x:c>
      <x:c r="I337" s="10" t="str">
        <x:v>Inspect route and delegated service contract for query/body/allowed actions. Capture a valid request from QA UI, replace dynamic IDs with owned fixture IDs, replay GET /api/member/application once in isolated environment. Check status/body/headers and exact database/job effects.</x:v>
      </x:c>
      <x:c r="J337" s="10" t="str">
        <x:v>Valid supported request returns documented result; expected mutations only. Public/token endpoints follow their own policy; no assumption of a universal 200/401 response.</x:v>
      </x:c>
      <x:c r="K337" s="11" t="str"/>
      <x:c r="L337" s="11" t="str">
        <x:v>Not run</x:v>
      </x:c>
      <x:c r="M337" s="11" t="str"/>
      <x:c r="N337" s="11" t="str"/>
      <x:c r="O337" s="11" t="str"/>
      <x:c r="P337" s="11" t="str"/>
      <x:c r="Q337" s="11" t="str"/>
      <x:c r="R337" s="11" t="str"/>
      <x:c r="S337" s="10" t="str">
        <x:v>Sanitized HTTP request/response + before/after query</x:v>
      </x:c>
      <x:c r="T337" s="10" t="str">
        <x:v>src/app/api/member/application/route.ts</x:v>
      </x:c>
      <x:c r="U337" s="10" t="str">
        <x:v>Reconcile tagged fixtures; archive/withdraw only owned test publications. Preserve audit/financial history.</x:v>
      </x:c>
      <x:c r="V337" s="12" t="str">
        <x:f>IF(A337="","",IF(L337="Not run","Pending",IF(OR(L337="Blocked",L337="Not deployed",L337="Not applicable"),IF(OR(K337="",R337=""),"Needs explanation","Recorded"),IF(OR(L337="Pass",L337="Fail"),IF(OR(K337="",M337="",P337=""),"Needs result/evidence/build","Recorded"),"Needs valid status"))))</x:f>
        <x:v>Pending</x:v>
      </x:c>
    </x:row>
    <x:row r="338" ht="52" customHeight="1">
      <x:c r="A338" s="10" t="str">
        <x:v>QA-0334</x:v>
      </x:c>
      <x:c r="B338" s="10" t="str">
        <x:v>T. API contract</x:v>
      </x:c>
      <x:c r="C338" s="10" t="str">
        <x:v>GET boundary: /api/member/application</x:v>
      </x:c>
      <x:c r="D338" s="10" t="str">
        <x:v>/api/member/application</x:v>
      </x:c>
      <x:c r="E338" s="10" t="str">
        <x:v>Technical tester</x:v>
      </x:c>
      <x:c r="F338" s="10" t="str">
        <x:v>P0</x:v>
      </x:c>
      <x:c r="G338" s="10" t="str">
        <x:v>Isolated only</x:v>
      </x:c>
      <x:c r="H338" s="10" t="str">
        <x:v>Record deployed build. Use assigned test accounts, synthetic data and approved fixtures/recipients only.</x:v>
      </x:c>
      <x:c r="I338" s="10" t="str">
        <x:v>Using isolated fixtures, replay GET /api/member/application as anonymous, ordinary member, unrelated staff role and wrong owner as applicable. Test every current supported action separately; record authorization differences.</x:v>
      </x:c>
      <x:c r="J338" s="10" t="str">
        <x:v>Authorization matches action-specific grants/ownership/publication; authorized exceptions remain allowed and all unauthorized reads/writes denied without private leakage.</x:v>
      </x:c>
      <x:c r="K338" s="11" t="str"/>
      <x:c r="L338" s="11" t="str">
        <x:v>Not run</x:v>
      </x:c>
      <x:c r="M338" s="11" t="str"/>
      <x:c r="N338" s="11" t="str"/>
      <x:c r="O338" s="11" t="str"/>
      <x:c r="P338" s="11" t="str"/>
      <x:c r="Q338" s="11" t="str"/>
      <x:c r="R338" s="11" t="str"/>
      <x:c r="S338" s="10" t="str">
        <x:v>Role/request matrix + response + unchanged database</x:v>
      </x:c>
      <x:c r="T338" s="10" t="str">
        <x:v>src/app/api/member/application/route.ts</x:v>
      </x:c>
      <x:c r="U338" s="10" t="str">
        <x:v>Reconcile tagged fixtures; archive/withdraw only owned test publications. Preserve audit/financial history.</x:v>
      </x:c>
      <x:c r="V338" s="12" t="str">
        <x:f>IF(A338="","",IF(L338="Not run","Pending",IF(OR(L338="Blocked",L338="Not deployed",L338="Not applicable"),IF(OR(K338="",R338=""),"Needs explanation","Recorded"),IF(OR(L338="Pass",L338="Fail"),IF(OR(K338="",M338="",P338=""),"Needs result/evidence/build","Recorded"),"Needs valid status"))))</x:f>
        <x:v>Pending</x:v>
      </x:c>
    </x:row>
    <x:row r="339" ht="66" customHeight="1">
      <x:c r="A339" s="10" t="str">
        <x:v>QA-0335</x:v>
      </x:c>
      <x:c r="B339" s="10" t="str">
        <x:v>T. API contract</x:v>
      </x:c>
      <x:c r="C339" s="10" t="str">
        <x:v>POST /api/member/application</x:v>
      </x:c>
      <x:c r="D339" s="10" t="str">
        <x:v>/api/member/application</x:v>
      </x:c>
      <x:c r="E339" s="10" t="str">
        <x:v>Technical tester</x:v>
      </x:c>
      <x:c r="F339" s="10" t="str">
        <x:v>P0</x:v>
      </x:c>
      <x:c r="G339" s="10" t="str">
        <x:v>Isolated only</x:v>
      </x:c>
      <x:c r="H339" s="10" t="str">
        <x:v>Isolated app/database; providers disabled or QA allowlist; exact request schema and fixture ID from current source/UI.</x:v>
      </x:c>
      <x:c r="I339" s="10" t="str">
        <x:v>Inspect route and delegated service contract for query/body/allowed actions. Capture a valid request from QA UI, replace dynamic IDs with owned fixture IDs, replay POST /api/member/application once in isolated environment. Check status/body/headers and exact database/job effects.</x:v>
      </x:c>
      <x:c r="J339" s="10" t="str">
        <x:v>Valid supported request returns documented result; expected mutations only. Public/token endpoints follow their own policy; no assumption of a universal 200/401 response.</x:v>
      </x:c>
      <x:c r="K339" s="11" t="str"/>
      <x:c r="L339" s="11" t="str">
        <x:v>Not run</x:v>
      </x:c>
      <x:c r="M339" s="11" t="str"/>
      <x:c r="N339" s="11" t="str"/>
      <x:c r="O339" s="11" t="str"/>
      <x:c r="P339" s="11" t="str"/>
      <x:c r="Q339" s="11" t="str"/>
      <x:c r="R339" s="11" t="str"/>
      <x:c r="S339" s="10" t="str">
        <x:v>Sanitized HTTP request/response + before/after query</x:v>
      </x:c>
      <x:c r="T339" s="10" t="str">
        <x:v>src/app/api/member/application/route.ts</x:v>
      </x:c>
      <x:c r="U339" s="10" t="str">
        <x:v>Reconcile tagged fixtures; archive/withdraw only owned test publications. Preserve audit/financial history.</x:v>
      </x:c>
      <x:c r="V339" s="12" t="str">
        <x:f>IF(A339="","",IF(L339="Not run","Pending",IF(OR(L339="Blocked",L339="Not deployed",L339="Not applicable"),IF(OR(K339="",R339=""),"Needs explanation","Recorded"),IF(OR(L339="Pass",L339="Fail"),IF(OR(K339="",M339="",P339=""),"Needs result/evidence/build","Recorded"),"Needs valid status"))))</x:f>
        <x:v>Pending</x:v>
      </x:c>
    </x:row>
    <x:row r="340" ht="52" customHeight="1">
      <x:c r="A340" s="10" t="str">
        <x:v>QA-0336</x:v>
      </x:c>
      <x:c r="B340" s="10" t="str">
        <x:v>T. API contract</x:v>
      </x:c>
      <x:c r="C340" s="10" t="str">
        <x:v>POST boundary: /api/member/application</x:v>
      </x:c>
      <x:c r="D340" s="10" t="str">
        <x:v>/api/member/application</x:v>
      </x:c>
      <x:c r="E340" s="10" t="str">
        <x:v>Technical tester</x:v>
      </x:c>
      <x:c r="F340" s="10" t="str">
        <x:v>P0</x:v>
      </x:c>
      <x:c r="G340" s="10" t="str">
        <x:v>Isolated only</x:v>
      </x:c>
      <x:c r="H340" s="10" t="str">
        <x:v>Record deployed build. Use assigned test accounts, synthetic data and approved fixtures/recipients only.</x:v>
      </x:c>
      <x:c r="I340" s="10" t="str">
        <x:v>Using isolated fixtures, replay POST /api/member/application as anonymous, ordinary member, unrelated staff role and wrong owner as applicable. Test every current supported action separately; record authorization differences.</x:v>
      </x:c>
      <x:c r="J340" s="10" t="str">
        <x:v>Authorization matches action-specific grants/ownership/publication; authorized exceptions remain allowed and all unauthorized reads/writes denied without private leakage.</x:v>
      </x:c>
      <x:c r="K340" s="11" t="str"/>
      <x:c r="L340" s="11" t="str">
        <x:v>Not run</x:v>
      </x:c>
      <x:c r="M340" s="11" t="str"/>
      <x:c r="N340" s="11" t="str"/>
      <x:c r="O340" s="11" t="str"/>
      <x:c r="P340" s="11" t="str"/>
      <x:c r="Q340" s="11" t="str"/>
      <x:c r="R340" s="11" t="str"/>
      <x:c r="S340" s="10" t="str">
        <x:v>Role/request matrix + response + unchanged database</x:v>
      </x:c>
      <x:c r="T340" s="10" t="str">
        <x:v>src/app/api/member/application/route.ts</x:v>
      </x:c>
      <x:c r="U340" s="10" t="str">
        <x:v>Reconcile tagged fixtures; archive/withdraw only owned test publications. Preserve audit/financial history.</x:v>
      </x:c>
      <x:c r="V340" s="12" t="str">
        <x:f>IF(A340="","",IF(L340="Not run","Pending",IF(OR(L340="Blocked",L340="Not deployed",L340="Not applicable"),IF(OR(K340="",R340=""),"Needs explanation","Recorded"),IF(OR(L340="Pass",L340="Fail"),IF(OR(K340="",M340="",P340=""),"Needs result/evidence/build","Recorded"),"Needs valid status"))))</x:f>
        <x:v>Pending</x:v>
      </x:c>
    </x:row>
    <x:row r="341" ht="66" customHeight="1">
      <x:c r="A341" s="10" t="str">
        <x:v>QA-0337</x:v>
      </x:c>
      <x:c r="B341" s="10" t="str">
        <x:v>T. API contract</x:v>
      </x:c>
      <x:c r="C341" s="10" t="str">
        <x:v>GET /api/member/event-journey</x:v>
      </x:c>
      <x:c r="D341" s="10" t="str">
        <x:v>/api/member/event-journey</x:v>
      </x:c>
      <x:c r="E341" s="10" t="str">
        <x:v>Technical tester</x:v>
      </x:c>
      <x:c r="F341" s="10" t="str">
        <x:v>P1</x:v>
      </x:c>
      <x:c r="G341" s="10" t="str">
        <x:v>Isolated only</x:v>
      </x:c>
      <x:c r="H341" s="10" t="str">
        <x:v>Isolated app/database; providers disabled or QA allowlist; exact request schema and fixture ID from current source/UI.</x:v>
      </x:c>
      <x:c r="I341" s="10" t="str">
        <x:v>Inspect route and delegated service contract for query/body/allowed actions. Capture a valid request from QA UI, replace dynamic IDs with owned fixture IDs, replay GET /api/member/event-journey once in isolated environment. Check status/body/headers and exact database/job effects.</x:v>
      </x:c>
      <x:c r="J341" s="10" t="str">
        <x:v>Valid supported request returns documented result; expected mutations only. Public/token endpoints follow their own policy; no assumption of a universal 200/401 response.</x:v>
      </x:c>
      <x:c r="K341" s="11" t="str"/>
      <x:c r="L341" s="11" t="str">
        <x:v>Not run</x:v>
      </x:c>
      <x:c r="M341" s="11" t="str"/>
      <x:c r="N341" s="11" t="str"/>
      <x:c r="O341" s="11" t="str"/>
      <x:c r="P341" s="11" t="str"/>
      <x:c r="Q341" s="11" t="str"/>
      <x:c r="R341" s="11" t="str"/>
      <x:c r="S341" s="10" t="str">
        <x:v>Sanitized HTTP request/response + before/after query</x:v>
      </x:c>
      <x:c r="T341" s="10" t="str">
        <x:v>src/app/api/member/event-journey/route.ts</x:v>
      </x:c>
      <x:c r="U341" s="10" t="str">
        <x:v>Reconcile tagged fixtures; archive/withdraw only owned test publications. Preserve audit/financial history.</x:v>
      </x:c>
      <x:c r="V341" s="12" t="str">
        <x:f>IF(A341="","",IF(L341="Not run","Pending",IF(OR(L341="Blocked",L341="Not deployed",L341="Not applicable"),IF(OR(K341="",R341=""),"Needs explanation","Recorded"),IF(OR(L341="Pass",L341="Fail"),IF(OR(K341="",M341="",P341=""),"Needs result/evidence/build","Recorded"),"Needs valid status"))))</x:f>
        <x:v>Pending</x:v>
      </x:c>
    </x:row>
    <x:row r="342" ht="52" customHeight="1">
      <x:c r="A342" s="10" t="str">
        <x:v>QA-0338</x:v>
      </x:c>
      <x:c r="B342" s="10" t="str">
        <x:v>T. API contract</x:v>
      </x:c>
      <x:c r="C342" s="10" t="str">
        <x:v>GET boundary: /api/member/event-journey</x:v>
      </x:c>
      <x:c r="D342" s="10" t="str">
        <x:v>/api/member/event-journey</x:v>
      </x:c>
      <x:c r="E342" s="10" t="str">
        <x:v>Technical tester</x:v>
      </x:c>
      <x:c r="F342" s="10" t="str">
        <x:v>P0</x:v>
      </x:c>
      <x:c r="G342" s="10" t="str">
        <x:v>Isolated only</x:v>
      </x:c>
      <x:c r="H342" s="10" t="str">
        <x:v>Record deployed build. Use assigned test accounts, synthetic data and approved fixtures/recipients only.</x:v>
      </x:c>
      <x:c r="I342" s="10" t="str">
        <x:v>Using isolated fixtures, replay GET /api/member/event-journey as anonymous, ordinary member, unrelated staff role and wrong owner as applicable. Test every current supported action separately; record authorization differences.</x:v>
      </x:c>
      <x:c r="J342" s="10" t="str">
        <x:v>Authorization matches action-specific grants/ownership/publication; authorized exceptions remain allowed and all unauthorized reads/writes denied without private leakage.</x:v>
      </x:c>
      <x:c r="K342" s="11" t="str"/>
      <x:c r="L342" s="11" t="str">
        <x:v>Not run</x:v>
      </x:c>
      <x:c r="M342" s="11" t="str"/>
      <x:c r="N342" s="11" t="str"/>
      <x:c r="O342" s="11" t="str"/>
      <x:c r="P342" s="11" t="str"/>
      <x:c r="Q342" s="11" t="str"/>
      <x:c r="R342" s="11" t="str"/>
      <x:c r="S342" s="10" t="str">
        <x:v>Role/request matrix + response + unchanged database</x:v>
      </x:c>
      <x:c r="T342" s="10" t="str">
        <x:v>src/app/api/member/event-journey/route.ts</x:v>
      </x:c>
      <x:c r="U342" s="10" t="str">
        <x:v>Reconcile tagged fixtures; archive/withdraw only owned test publications. Preserve audit/financial history.</x:v>
      </x:c>
      <x:c r="V342" s="12" t="str">
        <x:f>IF(A342="","",IF(L342="Not run","Pending",IF(OR(L342="Blocked",L342="Not deployed",L342="Not applicable"),IF(OR(K342="",R342=""),"Needs explanation","Recorded"),IF(OR(L342="Pass",L342="Fail"),IF(OR(K342="",M342="",P342=""),"Needs result/evidence/build","Recorded"),"Needs valid status"))))</x:f>
        <x:v>Pending</x:v>
      </x:c>
    </x:row>
    <x:row r="343" ht="66" customHeight="1">
      <x:c r="A343" s="10" t="str">
        <x:v>QA-0339</x:v>
      </x:c>
      <x:c r="B343" s="10" t="str">
        <x:v>T. API contract</x:v>
      </x:c>
      <x:c r="C343" s="10" t="str">
        <x:v>GET /api/member/events/operations</x:v>
      </x:c>
      <x:c r="D343" s="10" t="str">
        <x:v>/api/member/events/operations</x:v>
      </x:c>
      <x:c r="E343" s="10" t="str">
        <x:v>Technical tester</x:v>
      </x:c>
      <x:c r="F343" s="10" t="str">
        <x:v>P1</x:v>
      </x:c>
      <x:c r="G343" s="10" t="str">
        <x:v>Isolated only</x:v>
      </x:c>
      <x:c r="H343" s="10" t="str">
        <x:v>Isolated app/database; providers disabled or QA allowlist; exact request schema and fixture ID from current source/UI.</x:v>
      </x:c>
      <x:c r="I343" s="10" t="str">
        <x:v>Inspect route and delegated service contract for query/body/allowed actions. Capture a valid request from QA UI, replace dynamic IDs with owned fixture IDs, replay GET /api/member/events/operations once in isolated environment. Check status/body/headers and exact database/job effects.</x:v>
      </x:c>
      <x:c r="J343" s="10" t="str">
        <x:v>Valid supported request returns documented result; expected mutations only. Public/token endpoints follow their own policy; no assumption of a universal 200/401 response.</x:v>
      </x:c>
      <x:c r="K343" s="11" t="str"/>
      <x:c r="L343" s="11" t="str">
        <x:v>Not run</x:v>
      </x:c>
      <x:c r="M343" s="11" t="str"/>
      <x:c r="N343" s="11" t="str"/>
      <x:c r="O343" s="11" t="str"/>
      <x:c r="P343" s="11" t="str"/>
      <x:c r="Q343" s="11" t="str"/>
      <x:c r="R343" s="11" t="str"/>
      <x:c r="S343" s="10" t="str">
        <x:v>Sanitized HTTP request/response + before/after query</x:v>
      </x:c>
      <x:c r="T343" s="10" t="str">
        <x:v>src/app/api/member/events/operations/route.ts</x:v>
      </x:c>
      <x:c r="U343" s="10" t="str">
        <x:v>Reconcile tagged fixtures; archive/withdraw only owned test publications. Preserve audit/financial history.</x:v>
      </x:c>
      <x:c r="V343" s="12" t="str">
        <x:f>IF(A343="","",IF(L343="Not run","Pending",IF(OR(L343="Blocked",L343="Not deployed",L343="Not applicable"),IF(OR(K343="",R343=""),"Needs explanation","Recorded"),IF(OR(L343="Pass",L343="Fail"),IF(OR(K343="",M343="",P343=""),"Needs result/evidence/build","Recorded"),"Needs valid status"))))</x:f>
        <x:v>Pending</x:v>
      </x:c>
    </x:row>
    <x:row r="344" ht="52" customHeight="1">
      <x:c r="A344" s="10" t="str">
        <x:v>QA-0340</x:v>
      </x:c>
      <x:c r="B344" s="10" t="str">
        <x:v>T. API contract</x:v>
      </x:c>
      <x:c r="C344" s="10" t="str">
        <x:v>GET boundary: /api/member/events/operations</x:v>
      </x:c>
      <x:c r="D344" s="10" t="str">
        <x:v>/api/member/events/operations</x:v>
      </x:c>
      <x:c r="E344" s="10" t="str">
        <x:v>Technical tester</x:v>
      </x:c>
      <x:c r="F344" s="10" t="str">
        <x:v>P0</x:v>
      </x:c>
      <x:c r="G344" s="10" t="str">
        <x:v>Isolated only</x:v>
      </x:c>
      <x:c r="H344" s="10" t="str">
        <x:v>Record deployed build. Use assigned test accounts, synthetic data and approved fixtures/recipients only.</x:v>
      </x:c>
      <x:c r="I344" s="10" t="str">
        <x:v>Using isolated fixtures, replay GET /api/member/events/operations as anonymous, ordinary member, unrelated staff role and wrong owner as applicable. Test every current supported action separately; record authorization differences.</x:v>
      </x:c>
      <x:c r="J344" s="10" t="str">
        <x:v>Authorization matches action-specific grants/ownership/publication; authorized exceptions remain allowed and all unauthorized reads/writes denied without private leakage.</x:v>
      </x:c>
      <x:c r="K344" s="11" t="str"/>
      <x:c r="L344" s="11" t="str">
        <x:v>Not run</x:v>
      </x:c>
      <x:c r="M344" s="11" t="str"/>
      <x:c r="N344" s="11" t="str"/>
      <x:c r="O344" s="11" t="str"/>
      <x:c r="P344" s="11" t="str"/>
      <x:c r="Q344" s="11" t="str"/>
      <x:c r="R344" s="11" t="str"/>
      <x:c r="S344" s="10" t="str">
        <x:v>Role/request matrix + response + unchanged database</x:v>
      </x:c>
      <x:c r="T344" s="10" t="str">
        <x:v>src/app/api/member/events/operations/route.ts</x:v>
      </x:c>
      <x:c r="U344" s="10" t="str">
        <x:v>Reconcile tagged fixtures; archive/withdraw only owned test publications. Preserve audit/financial history.</x:v>
      </x:c>
      <x:c r="V344" s="12" t="str">
        <x:f>IF(A344="","",IF(L344="Not run","Pending",IF(OR(L344="Blocked",L344="Not deployed",L344="Not applicable"),IF(OR(K344="",R344=""),"Needs explanation","Recorded"),IF(OR(L344="Pass",L344="Fail"),IF(OR(K344="",M344="",P344=""),"Needs result/evidence/build","Recorded"),"Needs valid status"))))</x:f>
        <x:v>Pending</x:v>
      </x:c>
    </x:row>
    <x:row r="345" ht="66" customHeight="1">
      <x:c r="A345" s="10" t="str">
        <x:v>QA-0341</x:v>
      </x:c>
      <x:c r="B345" s="10" t="str">
        <x:v>T. API contract</x:v>
      </x:c>
      <x:c r="C345" s="10" t="str">
        <x:v>GET /api/member/events</x:v>
      </x:c>
      <x:c r="D345" s="10" t="str">
        <x:v>/api/member/events</x:v>
      </x:c>
      <x:c r="E345" s="10" t="str">
        <x:v>Technical tester</x:v>
      </x:c>
      <x:c r="F345" s="10" t="str">
        <x:v>P1</x:v>
      </x:c>
      <x:c r="G345" s="10" t="str">
        <x:v>Isolated only</x:v>
      </x:c>
      <x:c r="H345" s="10" t="str">
        <x:v>Isolated app/database; providers disabled or QA allowlist; exact request schema and fixture ID from current source/UI.</x:v>
      </x:c>
      <x:c r="I345" s="10" t="str">
        <x:v>Inspect route and delegated service contract for query/body/allowed actions. Capture a valid request from QA UI, replace dynamic IDs with owned fixture IDs, replay GET /api/member/events once in isolated environment. Check status/body/headers and exact database/job effects.</x:v>
      </x:c>
      <x:c r="J345" s="10" t="str">
        <x:v>Valid supported request returns documented result; expected mutations only. Public/token endpoints follow their own policy; no assumption of a universal 200/401 response.</x:v>
      </x:c>
      <x:c r="K345" s="11" t="str"/>
      <x:c r="L345" s="11" t="str">
        <x:v>Not run</x:v>
      </x:c>
      <x:c r="M345" s="11" t="str"/>
      <x:c r="N345" s="11" t="str"/>
      <x:c r="O345" s="11" t="str"/>
      <x:c r="P345" s="11" t="str"/>
      <x:c r="Q345" s="11" t="str"/>
      <x:c r="R345" s="11" t="str"/>
      <x:c r="S345" s="10" t="str">
        <x:v>Sanitized HTTP request/response + before/after query</x:v>
      </x:c>
      <x:c r="T345" s="10" t="str">
        <x:v>src/app/api/member/events/route.ts</x:v>
      </x:c>
      <x:c r="U345" s="10" t="str">
        <x:v>Reconcile tagged fixtures; archive/withdraw only owned test publications. Preserve audit/financial history.</x:v>
      </x:c>
      <x:c r="V345" s="12" t="str">
        <x:f>IF(A345="","",IF(L345="Not run","Pending",IF(OR(L345="Blocked",L345="Not deployed",L345="Not applicable"),IF(OR(K345="",R345=""),"Needs explanation","Recorded"),IF(OR(L345="Pass",L345="Fail"),IF(OR(K345="",M345="",P345=""),"Needs result/evidence/build","Recorded"),"Needs valid status"))))</x:f>
        <x:v>Pending</x:v>
      </x:c>
    </x:row>
    <x:row r="346" ht="52" customHeight="1">
      <x:c r="A346" s="10" t="str">
        <x:v>QA-0342</x:v>
      </x:c>
      <x:c r="B346" s="10" t="str">
        <x:v>T. API contract</x:v>
      </x:c>
      <x:c r="C346" s="10" t="str">
        <x:v>GET boundary: /api/member/events</x:v>
      </x:c>
      <x:c r="D346" s="10" t="str">
        <x:v>/api/member/events</x:v>
      </x:c>
      <x:c r="E346" s="10" t="str">
        <x:v>Technical tester</x:v>
      </x:c>
      <x:c r="F346" s="10" t="str">
        <x:v>P0</x:v>
      </x:c>
      <x:c r="G346" s="10" t="str">
        <x:v>Isolated only</x:v>
      </x:c>
      <x:c r="H346" s="10" t="str">
        <x:v>Record deployed build. Use assigned test accounts, synthetic data and approved fixtures/recipients only.</x:v>
      </x:c>
      <x:c r="I346" s="10" t="str">
        <x:v>Using isolated fixtures, replay GET /api/member/events as anonymous, ordinary member, unrelated staff role and wrong owner as applicable. Test every current supported action separately; record authorization differences.</x:v>
      </x:c>
      <x:c r="J346" s="10" t="str">
        <x:v>Authorization matches action-specific grants/ownership/publication; authorized exceptions remain allowed and all unauthorized reads/writes denied without private leakage.</x:v>
      </x:c>
      <x:c r="K346" s="11" t="str"/>
      <x:c r="L346" s="11" t="str">
        <x:v>Not run</x:v>
      </x:c>
      <x:c r="M346" s="11" t="str"/>
      <x:c r="N346" s="11" t="str"/>
      <x:c r="O346" s="11" t="str"/>
      <x:c r="P346" s="11" t="str"/>
      <x:c r="Q346" s="11" t="str"/>
      <x:c r="R346" s="11" t="str"/>
      <x:c r="S346" s="10" t="str">
        <x:v>Role/request matrix + response + unchanged database</x:v>
      </x:c>
      <x:c r="T346" s="10" t="str">
        <x:v>src/app/api/member/events/route.ts</x:v>
      </x:c>
      <x:c r="U346" s="10" t="str">
        <x:v>Reconcile tagged fixtures; archive/withdraw only owned test publications. Preserve audit/financial history.</x:v>
      </x:c>
      <x:c r="V346" s="12" t="str">
        <x:f>IF(A346="","",IF(L346="Not run","Pending",IF(OR(L346="Blocked",L346="Not deployed",L346="Not applicable"),IF(OR(K346="",R346=""),"Needs explanation","Recorded"),IF(OR(L346="Pass",L346="Fail"),IF(OR(K346="",M346="",P346=""),"Needs result/evidence/build","Recorded"),"Needs valid status"))))</x:f>
        <x:v>Pending</x:v>
      </x:c>
    </x:row>
    <x:row r="347" ht="66" customHeight="1">
      <x:c r="A347" s="10" t="str">
        <x:v>QA-0343</x:v>
      </x:c>
      <x:c r="B347" s="10" t="str">
        <x:v>T. API contract</x:v>
      </x:c>
      <x:c r="C347" s="10" t="str">
        <x:v>POST /api/member/events</x:v>
      </x:c>
      <x:c r="D347" s="10" t="str">
        <x:v>/api/member/events</x:v>
      </x:c>
      <x:c r="E347" s="10" t="str">
        <x:v>Technical tester</x:v>
      </x:c>
      <x:c r="F347" s="10" t="str">
        <x:v>P0</x:v>
      </x:c>
      <x:c r="G347" s="10" t="str">
        <x:v>Isolated only</x:v>
      </x:c>
      <x:c r="H347" s="10" t="str">
        <x:v>Isolated app/database; providers disabled or QA allowlist; exact request schema and fixture ID from current source/UI.</x:v>
      </x:c>
      <x:c r="I347" s="10" t="str">
        <x:v>Inspect route and delegated service contract for query/body/allowed actions. Capture a valid request from QA UI, replace dynamic IDs with owned fixture IDs, replay POST /api/member/events once in isolated environment. Check status/body/headers and exact database/job effects.</x:v>
      </x:c>
      <x:c r="J347" s="10" t="str">
        <x:v>Valid supported request returns documented result; expected mutations only. Public/token endpoints follow their own policy; no assumption of a universal 200/401 response.</x:v>
      </x:c>
      <x:c r="K347" s="11" t="str"/>
      <x:c r="L347" s="11" t="str">
        <x:v>Not run</x:v>
      </x:c>
      <x:c r="M347" s="11" t="str"/>
      <x:c r="N347" s="11" t="str"/>
      <x:c r="O347" s="11" t="str"/>
      <x:c r="P347" s="11" t="str"/>
      <x:c r="Q347" s="11" t="str"/>
      <x:c r="R347" s="11" t="str"/>
      <x:c r="S347" s="10" t="str">
        <x:v>Sanitized HTTP request/response + before/after query</x:v>
      </x:c>
      <x:c r="T347" s="10" t="str">
        <x:v>src/app/api/member/events/route.ts</x:v>
      </x:c>
      <x:c r="U347" s="10" t="str">
        <x:v>Reconcile tagged fixtures; archive/withdraw only owned test publications. Preserve audit/financial history.</x:v>
      </x:c>
      <x:c r="V347" s="12" t="str">
        <x:f>IF(A347="","",IF(L347="Not run","Pending",IF(OR(L347="Blocked",L347="Not deployed",L347="Not applicable"),IF(OR(K347="",R347=""),"Needs explanation","Recorded"),IF(OR(L347="Pass",L347="Fail"),IF(OR(K347="",M347="",P347=""),"Needs result/evidence/build","Recorded"),"Needs valid status"))))</x:f>
        <x:v>Pending</x:v>
      </x:c>
    </x:row>
    <x:row r="348" ht="52" customHeight="1">
      <x:c r="A348" s="10" t="str">
        <x:v>QA-0344</x:v>
      </x:c>
      <x:c r="B348" s="10" t="str">
        <x:v>T. API contract</x:v>
      </x:c>
      <x:c r="C348" s="10" t="str">
        <x:v>POST boundary: /api/member/events</x:v>
      </x:c>
      <x:c r="D348" s="10" t="str">
        <x:v>/api/member/events</x:v>
      </x:c>
      <x:c r="E348" s="10" t="str">
        <x:v>Technical tester</x:v>
      </x:c>
      <x:c r="F348" s="10" t="str">
        <x:v>P0</x:v>
      </x:c>
      <x:c r="G348" s="10" t="str">
        <x:v>Isolated only</x:v>
      </x:c>
      <x:c r="H348" s="10" t="str">
        <x:v>Record deployed build. Use assigned test accounts, synthetic data and approved fixtures/recipients only.</x:v>
      </x:c>
      <x:c r="I348" s="10" t="str">
        <x:v>Using isolated fixtures, replay POST /api/member/events as anonymous, ordinary member, unrelated staff role and wrong owner as applicable. Test every current supported action separately; record authorization differences.</x:v>
      </x:c>
      <x:c r="J348" s="10" t="str">
        <x:v>Authorization matches action-specific grants/ownership/publication; authorized exceptions remain allowed and all unauthorized reads/writes denied without private leakage.</x:v>
      </x:c>
      <x:c r="K348" s="11" t="str"/>
      <x:c r="L348" s="11" t="str">
        <x:v>Not run</x:v>
      </x:c>
      <x:c r="M348" s="11" t="str"/>
      <x:c r="N348" s="11" t="str"/>
      <x:c r="O348" s="11" t="str"/>
      <x:c r="P348" s="11" t="str"/>
      <x:c r="Q348" s="11" t="str"/>
      <x:c r="R348" s="11" t="str"/>
      <x:c r="S348" s="10" t="str">
        <x:v>Role/request matrix + response + unchanged database</x:v>
      </x:c>
      <x:c r="T348" s="10" t="str">
        <x:v>src/app/api/member/events/route.ts</x:v>
      </x:c>
      <x:c r="U348" s="10" t="str">
        <x:v>Reconcile tagged fixtures; archive/withdraw only owned test publications. Preserve audit/financial history.</x:v>
      </x:c>
      <x:c r="V348" s="12" t="str">
        <x:f>IF(A348="","",IF(L348="Not run","Pending",IF(OR(L348="Blocked",L348="Not deployed",L348="Not applicable"),IF(OR(K348="",R348=""),"Needs explanation","Recorded"),IF(OR(L348="Pass",L348="Fail"),IF(OR(K348="",M348="",P348=""),"Needs result/evidence/build","Recorded"),"Needs valid status"))))</x:f>
        <x:v>Pending</x:v>
      </x:c>
    </x:row>
    <x:row r="349" ht="66" customHeight="1">
      <x:c r="A349" s="10" t="str">
        <x:v>QA-0345</x:v>
      </x:c>
      <x:c r="B349" s="10" t="str">
        <x:v>T. API contract</x:v>
      </x:c>
      <x:c r="C349" s="10" t="str">
        <x:v>GET /api/member/inquiries</x:v>
      </x:c>
      <x:c r="D349" s="10" t="str">
        <x:v>/api/member/inquiries</x:v>
      </x:c>
      <x:c r="E349" s="10" t="str">
        <x:v>Technical tester</x:v>
      </x:c>
      <x:c r="F349" s="10" t="str">
        <x:v>P1</x:v>
      </x:c>
      <x:c r="G349" s="10" t="str">
        <x:v>Isolated only</x:v>
      </x:c>
      <x:c r="H349" s="10" t="str">
        <x:v>Isolated app/database; providers disabled or QA allowlist; exact request schema and fixture ID from current source/UI.</x:v>
      </x:c>
      <x:c r="I349" s="10" t="str">
        <x:v>Inspect route and delegated service contract for query/body/allowed actions. Capture a valid request from QA UI, replace dynamic IDs with owned fixture IDs, replay GET /api/member/inquiries once in isolated environment. Check status/body/headers and exact database/job effects.</x:v>
      </x:c>
      <x:c r="J349" s="10" t="str">
        <x:v>Valid supported request returns documented result; expected mutations only. Public/token endpoints follow their own policy; no assumption of a universal 200/401 response.</x:v>
      </x:c>
      <x:c r="K349" s="11" t="str"/>
      <x:c r="L349" s="11" t="str">
        <x:v>Not run</x:v>
      </x:c>
      <x:c r="M349" s="11" t="str"/>
      <x:c r="N349" s="11" t="str"/>
      <x:c r="O349" s="11" t="str"/>
      <x:c r="P349" s="11" t="str"/>
      <x:c r="Q349" s="11" t="str"/>
      <x:c r="R349" s="11" t="str"/>
      <x:c r="S349" s="10" t="str">
        <x:v>Sanitized HTTP request/response + before/after query</x:v>
      </x:c>
      <x:c r="T349" s="10" t="str">
        <x:v>src/app/api/member/inquiries/route.ts</x:v>
      </x:c>
      <x:c r="U349" s="10" t="str">
        <x:v>Reconcile tagged fixtures; archive/withdraw only owned test publications. Preserve audit/financial history.</x:v>
      </x:c>
      <x:c r="V349" s="12" t="str">
        <x:f>IF(A349="","",IF(L349="Not run","Pending",IF(OR(L349="Blocked",L349="Not deployed",L349="Not applicable"),IF(OR(K349="",R349=""),"Needs explanation","Recorded"),IF(OR(L349="Pass",L349="Fail"),IF(OR(K349="",M349="",P349=""),"Needs result/evidence/build","Recorded"),"Needs valid status"))))</x:f>
        <x:v>Pending</x:v>
      </x:c>
    </x:row>
    <x:row r="350" ht="52" customHeight="1">
      <x:c r="A350" s="10" t="str">
        <x:v>QA-0346</x:v>
      </x:c>
      <x:c r="B350" s="10" t="str">
        <x:v>T. API contract</x:v>
      </x:c>
      <x:c r="C350" s="10" t="str">
        <x:v>GET boundary: /api/member/inquiries</x:v>
      </x:c>
      <x:c r="D350" s="10" t="str">
        <x:v>/api/member/inquiries</x:v>
      </x:c>
      <x:c r="E350" s="10" t="str">
        <x:v>Technical tester</x:v>
      </x:c>
      <x:c r="F350" s="10" t="str">
        <x:v>P0</x:v>
      </x:c>
      <x:c r="G350" s="10" t="str">
        <x:v>Isolated only</x:v>
      </x:c>
      <x:c r="H350" s="10" t="str">
        <x:v>Record deployed build. Use assigned test accounts, synthetic data and approved fixtures/recipients only.</x:v>
      </x:c>
      <x:c r="I350" s="10" t="str">
        <x:v>Using isolated fixtures, replay GET /api/member/inquiries as anonymous, ordinary member, unrelated staff role and wrong owner as applicable. Test every current supported action separately; record authorization differences.</x:v>
      </x:c>
      <x:c r="J350" s="10" t="str">
        <x:v>Authorization matches action-specific grants/ownership/publication; authorized exceptions remain allowed and all unauthorized reads/writes denied without private leakage.</x:v>
      </x:c>
      <x:c r="K350" s="11" t="str"/>
      <x:c r="L350" s="11" t="str">
        <x:v>Not run</x:v>
      </x:c>
      <x:c r="M350" s="11" t="str"/>
      <x:c r="N350" s="11" t="str"/>
      <x:c r="O350" s="11" t="str"/>
      <x:c r="P350" s="11" t="str"/>
      <x:c r="Q350" s="11" t="str"/>
      <x:c r="R350" s="11" t="str"/>
      <x:c r="S350" s="10" t="str">
        <x:v>Role/request matrix + response + unchanged database</x:v>
      </x:c>
      <x:c r="T350" s="10" t="str">
        <x:v>src/app/api/member/inquiries/route.ts</x:v>
      </x:c>
      <x:c r="U350" s="10" t="str">
        <x:v>Reconcile tagged fixtures; archive/withdraw only owned test publications. Preserve audit/financial history.</x:v>
      </x:c>
      <x:c r="V350" s="12" t="str">
        <x:f>IF(A350="","",IF(L350="Not run","Pending",IF(OR(L350="Blocked",L350="Not deployed",L350="Not applicable"),IF(OR(K350="",R350=""),"Needs explanation","Recorded"),IF(OR(L350="Pass",L350="Fail"),IF(OR(K350="",M350="",P350=""),"Needs result/evidence/build","Recorded"),"Needs valid status"))))</x:f>
        <x:v>Pending</x:v>
      </x:c>
    </x:row>
    <x:row r="351" ht="66" customHeight="1">
      <x:c r="A351" s="10" t="str">
        <x:v>QA-0347</x:v>
      </x:c>
      <x:c r="B351" s="10" t="str">
        <x:v>T. API contract</x:v>
      </x:c>
      <x:c r="C351" s="10" t="str">
        <x:v>POST /api/member/inquiries</x:v>
      </x:c>
      <x:c r="D351" s="10" t="str">
        <x:v>/api/member/inquiries</x:v>
      </x:c>
      <x:c r="E351" s="10" t="str">
        <x:v>Technical tester</x:v>
      </x:c>
      <x:c r="F351" s="10" t="str">
        <x:v>P0</x:v>
      </x:c>
      <x:c r="G351" s="10" t="str">
        <x:v>Isolated only</x:v>
      </x:c>
      <x:c r="H351" s="10" t="str">
        <x:v>Isolated app/database; providers disabled or QA allowlist; exact request schema and fixture ID from current source/UI.</x:v>
      </x:c>
      <x:c r="I351" s="10" t="str">
        <x:v>Inspect route and delegated service contract for query/body/allowed actions. Capture a valid request from QA UI, replace dynamic IDs with owned fixture IDs, replay POST /api/member/inquiries once in isolated environment. Check status/body/headers and exact database/job effects.</x:v>
      </x:c>
      <x:c r="J351" s="10" t="str">
        <x:v>Valid supported request returns documented result; expected mutations only. Public/token endpoints follow their own policy; no assumption of a universal 200/401 response.</x:v>
      </x:c>
      <x:c r="K351" s="11" t="str"/>
      <x:c r="L351" s="11" t="str">
        <x:v>Not run</x:v>
      </x:c>
      <x:c r="M351" s="11" t="str"/>
      <x:c r="N351" s="11" t="str"/>
      <x:c r="O351" s="11" t="str"/>
      <x:c r="P351" s="11" t="str"/>
      <x:c r="Q351" s="11" t="str"/>
      <x:c r="R351" s="11" t="str"/>
      <x:c r="S351" s="10" t="str">
        <x:v>Sanitized HTTP request/response + before/after query</x:v>
      </x:c>
      <x:c r="T351" s="10" t="str">
        <x:v>src/app/api/member/inquiries/route.ts</x:v>
      </x:c>
      <x:c r="U351" s="10" t="str">
        <x:v>Reconcile tagged fixtures; archive/withdraw only owned test publications. Preserve audit/financial history.</x:v>
      </x:c>
      <x:c r="V351" s="12" t="str">
        <x:f>IF(A351="","",IF(L351="Not run","Pending",IF(OR(L351="Blocked",L351="Not deployed",L351="Not applicable"),IF(OR(K351="",R351=""),"Needs explanation","Recorded"),IF(OR(L351="Pass",L351="Fail"),IF(OR(K351="",M351="",P351=""),"Needs result/evidence/build","Recorded"),"Needs valid status"))))</x:f>
        <x:v>Pending</x:v>
      </x:c>
    </x:row>
    <x:row r="352" ht="52" customHeight="1">
      <x:c r="A352" s="10" t="str">
        <x:v>QA-0348</x:v>
      </x:c>
      <x:c r="B352" s="10" t="str">
        <x:v>T. API contract</x:v>
      </x:c>
      <x:c r="C352" s="10" t="str">
        <x:v>POST boundary: /api/member/inquiries</x:v>
      </x:c>
      <x:c r="D352" s="10" t="str">
        <x:v>/api/member/inquiries</x:v>
      </x:c>
      <x:c r="E352" s="10" t="str">
        <x:v>Technical tester</x:v>
      </x:c>
      <x:c r="F352" s="10" t="str">
        <x:v>P0</x:v>
      </x:c>
      <x:c r="G352" s="10" t="str">
        <x:v>Isolated only</x:v>
      </x:c>
      <x:c r="H352" s="10" t="str">
        <x:v>Record deployed build. Use assigned test accounts, synthetic data and approved fixtures/recipients only.</x:v>
      </x:c>
      <x:c r="I352" s="10" t="str">
        <x:v>Using isolated fixtures, replay POST /api/member/inquiries as anonymous, ordinary member, unrelated staff role and wrong owner as applicable. Test every current supported action separately; record authorization differences.</x:v>
      </x:c>
      <x:c r="J352" s="10" t="str">
        <x:v>Authorization matches action-specific grants/ownership/publication; authorized exceptions remain allowed and all unauthorized reads/writes denied without private leakage.</x:v>
      </x:c>
      <x:c r="K352" s="11" t="str"/>
      <x:c r="L352" s="11" t="str">
        <x:v>Not run</x:v>
      </x:c>
      <x:c r="M352" s="11" t="str"/>
      <x:c r="N352" s="11" t="str"/>
      <x:c r="O352" s="11" t="str"/>
      <x:c r="P352" s="11" t="str"/>
      <x:c r="Q352" s="11" t="str"/>
      <x:c r="R352" s="11" t="str"/>
      <x:c r="S352" s="10" t="str">
        <x:v>Role/request matrix + response + unchanged database</x:v>
      </x:c>
      <x:c r="T352" s="10" t="str">
        <x:v>src/app/api/member/inquiries/route.ts</x:v>
      </x:c>
      <x:c r="U352" s="10" t="str">
        <x:v>Reconcile tagged fixtures; archive/withdraw only owned test publications. Preserve audit/financial history.</x:v>
      </x:c>
      <x:c r="V352" s="12" t="str">
        <x:f>IF(A352="","",IF(L352="Not run","Pending",IF(OR(L352="Blocked",L352="Not deployed",L352="Not applicable"),IF(OR(K352="",R352=""),"Needs explanation","Recorded"),IF(OR(L352="Pass",L352="Fail"),IF(OR(K352="",M352="",P352=""),"Needs result/evidence/build","Recorded"),"Needs valid status"))))</x:f>
        <x:v>Pending</x:v>
      </x:c>
    </x:row>
    <x:row r="353" ht="66" customHeight="1">
      <x:c r="A353" s="10" t="str">
        <x:v>QA-0349</x:v>
      </x:c>
      <x:c r="B353" s="10" t="str">
        <x:v>T. API contract</x:v>
      </x:c>
      <x:c r="C353" s="10" t="str">
        <x:v>GET /api/member/locations</x:v>
      </x:c>
      <x:c r="D353" s="10" t="str">
        <x:v>/api/member/locations</x:v>
      </x:c>
      <x:c r="E353" s="10" t="str">
        <x:v>Technical tester</x:v>
      </x:c>
      <x:c r="F353" s="10" t="str">
        <x:v>P1</x:v>
      </x:c>
      <x:c r="G353" s="10" t="str">
        <x:v>Isolated only</x:v>
      </x:c>
      <x:c r="H353" s="10" t="str">
        <x:v>Isolated app/database; providers disabled or QA allowlist; exact request schema and fixture ID from current source/UI.</x:v>
      </x:c>
      <x:c r="I353" s="10" t="str">
        <x:v>Inspect route and delegated service contract for query/body/allowed actions. Capture a valid request from QA UI, replace dynamic IDs with owned fixture IDs, replay GET /api/member/locations once in isolated environment. Check status/body/headers and exact database/job effects.</x:v>
      </x:c>
      <x:c r="J353" s="10" t="str">
        <x:v>Valid supported request returns documented result; expected mutations only. Public/token endpoints follow their own policy; no assumption of a universal 200/401 response.</x:v>
      </x:c>
      <x:c r="K353" s="11" t="str"/>
      <x:c r="L353" s="11" t="str">
        <x:v>Not run</x:v>
      </x:c>
      <x:c r="M353" s="11" t="str"/>
      <x:c r="N353" s="11" t="str"/>
      <x:c r="O353" s="11" t="str"/>
      <x:c r="P353" s="11" t="str"/>
      <x:c r="Q353" s="11" t="str"/>
      <x:c r="R353" s="11" t="str"/>
      <x:c r="S353" s="10" t="str">
        <x:v>Sanitized HTTP request/response + before/after query</x:v>
      </x:c>
      <x:c r="T353" s="10" t="str">
        <x:v>src/app/api/member/locations/route.ts</x:v>
      </x:c>
      <x:c r="U353" s="10" t="str">
        <x:v>Reconcile tagged fixtures; archive/withdraw only owned test publications. Preserve audit/financial history.</x:v>
      </x:c>
      <x:c r="V353" s="12" t="str">
        <x:f>IF(A353="","",IF(L353="Not run","Pending",IF(OR(L353="Blocked",L353="Not deployed",L353="Not applicable"),IF(OR(K353="",R353=""),"Needs explanation","Recorded"),IF(OR(L353="Pass",L353="Fail"),IF(OR(K353="",M353="",P353=""),"Needs result/evidence/build","Recorded"),"Needs valid status"))))</x:f>
        <x:v>Pending</x:v>
      </x:c>
    </x:row>
    <x:row r="354" ht="52" customHeight="1">
      <x:c r="A354" s="10" t="str">
        <x:v>QA-0350</x:v>
      </x:c>
      <x:c r="B354" s="10" t="str">
        <x:v>T. API contract</x:v>
      </x:c>
      <x:c r="C354" s="10" t="str">
        <x:v>GET boundary: /api/member/locations</x:v>
      </x:c>
      <x:c r="D354" s="10" t="str">
        <x:v>/api/member/locations</x:v>
      </x:c>
      <x:c r="E354" s="10" t="str">
        <x:v>Technical tester</x:v>
      </x:c>
      <x:c r="F354" s="10" t="str">
        <x:v>P0</x:v>
      </x:c>
      <x:c r="G354" s="10" t="str">
        <x:v>Isolated only</x:v>
      </x:c>
      <x:c r="H354" s="10" t="str">
        <x:v>Record deployed build. Use assigned test accounts, synthetic data and approved fixtures/recipients only.</x:v>
      </x:c>
      <x:c r="I354" s="10" t="str">
        <x:v>Using isolated fixtures, replay GET /api/member/locations as anonymous, ordinary member, unrelated staff role and wrong owner as applicable. Test every current supported action separately; record authorization differences.</x:v>
      </x:c>
      <x:c r="J354" s="10" t="str">
        <x:v>Authorization matches action-specific grants/ownership/publication; authorized exceptions remain allowed and all unauthorized reads/writes denied without private leakage.</x:v>
      </x:c>
      <x:c r="K354" s="11" t="str"/>
      <x:c r="L354" s="11" t="str">
        <x:v>Not run</x:v>
      </x:c>
      <x:c r="M354" s="11" t="str"/>
      <x:c r="N354" s="11" t="str"/>
      <x:c r="O354" s="11" t="str"/>
      <x:c r="P354" s="11" t="str"/>
      <x:c r="Q354" s="11" t="str"/>
      <x:c r="R354" s="11" t="str"/>
      <x:c r="S354" s="10" t="str">
        <x:v>Role/request matrix + response + unchanged database</x:v>
      </x:c>
      <x:c r="T354" s="10" t="str">
        <x:v>src/app/api/member/locations/route.ts</x:v>
      </x:c>
      <x:c r="U354" s="10" t="str">
        <x:v>Reconcile tagged fixtures; archive/withdraw only owned test publications. Preserve audit/financial history.</x:v>
      </x:c>
      <x:c r="V354" s="12" t="str">
        <x:f>IF(A354="","",IF(L354="Not run","Pending",IF(OR(L354="Blocked",L354="Not deployed",L354="Not applicable"),IF(OR(K354="",R354=""),"Needs explanation","Recorded"),IF(OR(L354="Pass",L354="Fail"),IF(OR(K354="",M354="",P354=""),"Needs result/evidence/build","Recorded"),"Needs valid status"))))</x:f>
        <x:v>Pending</x:v>
      </x:c>
    </x:row>
    <x:row r="355" ht="66" customHeight="1">
      <x:c r="A355" s="10" t="str">
        <x:v>QA-0351</x:v>
      </x:c>
      <x:c r="B355" s="10" t="str">
        <x:v>T. API contract</x:v>
      </x:c>
      <x:c r="C355" s="10" t="str">
        <x:v>GET /api/member/payment-details</x:v>
      </x:c>
      <x:c r="D355" s="10" t="str">
        <x:v>/api/member/payment-details</x:v>
      </x:c>
      <x:c r="E355" s="10" t="str">
        <x:v>Technical tester</x:v>
      </x:c>
      <x:c r="F355" s="10" t="str">
        <x:v>P1</x:v>
      </x:c>
      <x:c r="G355" s="10" t="str">
        <x:v>Isolated only</x:v>
      </x:c>
      <x:c r="H355" s="10" t="str">
        <x:v>Isolated app/database; providers disabled or QA allowlist; exact request schema and fixture ID from current source/UI.</x:v>
      </x:c>
      <x:c r="I355" s="10" t="str">
        <x:v>Inspect route and delegated service contract for query/body/allowed actions. Capture a valid request from QA UI, replace dynamic IDs with owned fixture IDs, replay GET /api/member/payment-details once in isolated environment. Check status/body/headers and exact database/job effects.</x:v>
      </x:c>
      <x:c r="J355" s="10" t="str">
        <x:v>Valid supported request returns documented result; expected mutations only. Public/token endpoints follow their own policy; no assumption of a universal 200/401 response.</x:v>
      </x:c>
      <x:c r="K355" s="11" t="str"/>
      <x:c r="L355" s="11" t="str">
        <x:v>Not run</x:v>
      </x:c>
      <x:c r="M355" s="11" t="str"/>
      <x:c r="N355" s="11" t="str"/>
      <x:c r="O355" s="11" t="str"/>
      <x:c r="P355" s="11" t="str"/>
      <x:c r="Q355" s="11" t="str"/>
      <x:c r="R355" s="11" t="str"/>
      <x:c r="S355" s="10" t="str">
        <x:v>Sanitized HTTP request/response + before/after query</x:v>
      </x:c>
      <x:c r="T355" s="10" t="str">
        <x:v>src/app/api/member/payment-details/route.ts</x:v>
      </x:c>
      <x:c r="U355" s="10" t="str">
        <x:v>Reconcile tagged fixtures; archive/withdraw only owned test publications. Preserve audit/financial history.</x:v>
      </x:c>
      <x:c r="V355" s="12" t="str">
        <x:f>IF(A355="","",IF(L355="Not run","Pending",IF(OR(L355="Blocked",L355="Not deployed",L355="Not applicable"),IF(OR(K355="",R355=""),"Needs explanation","Recorded"),IF(OR(L355="Pass",L355="Fail"),IF(OR(K355="",M355="",P355=""),"Needs result/evidence/build","Recorded"),"Needs valid status"))))</x:f>
        <x:v>Pending</x:v>
      </x:c>
    </x:row>
    <x:row r="356" ht="52" customHeight="1">
      <x:c r="A356" s="10" t="str">
        <x:v>QA-0352</x:v>
      </x:c>
      <x:c r="B356" s="10" t="str">
        <x:v>T. API contract</x:v>
      </x:c>
      <x:c r="C356" s="10" t="str">
        <x:v>GET boundary: /api/member/payment-details</x:v>
      </x:c>
      <x:c r="D356" s="10" t="str">
        <x:v>/api/member/payment-details</x:v>
      </x:c>
      <x:c r="E356" s="10" t="str">
        <x:v>Technical tester</x:v>
      </x:c>
      <x:c r="F356" s="10" t="str">
        <x:v>P0</x:v>
      </x:c>
      <x:c r="G356" s="10" t="str">
        <x:v>Isolated only</x:v>
      </x:c>
      <x:c r="H356" s="10" t="str">
        <x:v>Record deployed build. Use assigned test accounts, synthetic data and approved fixtures/recipients only.</x:v>
      </x:c>
      <x:c r="I356" s="10" t="str">
        <x:v>Using isolated fixtures, replay GET /api/member/payment-details as anonymous, ordinary member, unrelated staff role and wrong owner as applicable. Test every current supported action separately; record authorization differences.</x:v>
      </x:c>
      <x:c r="J356" s="10" t="str">
        <x:v>Authorization matches action-specific grants/ownership/publication; authorized exceptions remain allowed and all unauthorized reads/writes denied without private leakage.</x:v>
      </x:c>
      <x:c r="K356" s="11" t="str"/>
      <x:c r="L356" s="11" t="str">
        <x:v>Not run</x:v>
      </x:c>
      <x:c r="M356" s="11" t="str"/>
      <x:c r="N356" s="11" t="str"/>
      <x:c r="O356" s="11" t="str"/>
      <x:c r="P356" s="11" t="str"/>
      <x:c r="Q356" s="11" t="str"/>
      <x:c r="R356" s="11" t="str"/>
      <x:c r="S356" s="10" t="str">
        <x:v>Role/request matrix + response + unchanged database</x:v>
      </x:c>
      <x:c r="T356" s="10" t="str">
        <x:v>src/app/api/member/payment-details/route.ts</x:v>
      </x:c>
      <x:c r="U356" s="10" t="str">
        <x:v>Reconcile tagged fixtures; archive/withdraw only owned test publications. Preserve audit/financial history.</x:v>
      </x:c>
      <x:c r="V356" s="12" t="str">
        <x:f>IF(A356="","",IF(L356="Not run","Pending",IF(OR(L356="Blocked",L356="Not deployed",L356="Not applicable"),IF(OR(K356="",R356=""),"Needs explanation","Recorded"),IF(OR(L356="Pass",L356="Fail"),IF(OR(K356="",M356="",P356=""),"Needs result/evidence/build","Recorded"),"Needs valid status"))))</x:f>
        <x:v>Pending</x:v>
      </x:c>
    </x:row>
    <x:row r="357" ht="66" customHeight="1">
      <x:c r="A357" s="10" t="str">
        <x:v>QA-0353</x:v>
      </x:c>
      <x:c r="B357" s="10" t="str">
        <x:v>T. API contract</x:v>
      </x:c>
      <x:c r="C357" s="10" t="str">
        <x:v>GET /api/member/profile</x:v>
      </x:c>
      <x:c r="D357" s="10" t="str">
        <x:v>/api/member/profile</x:v>
      </x:c>
      <x:c r="E357" s="10" t="str">
        <x:v>Technical tester</x:v>
      </x:c>
      <x:c r="F357" s="10" t="str">
        <x:v>P1</x:v>
      </x:c>
      <x:c r="G357" s="10" t="str">
        <x:v>Isolated only</x:v>
      </x:c>
      <x:c r="H357" s="10" t="str">
        <x:v>Isolated app/database; providers disabled or QA allowlist; exact request schema and fixture ID from current source/UI.</x:v>
      </x:c>
      <x:c r="I357" s="10" t="str">
        <x:v>Inspect route and delegated service contract for query/body/allowed actions. Capture a valid request from QA UI, replace dynamic IDs with owned fixture IDs, replay GET /api/member/profile once in isolated environment. Check status/body/headers and exact database/job effects.</x:v>
      </x:c>
      <x:c r="J357" s="10" t="str">
        <x:v>Valid supported request returns documented result; expected mutations only. Public/token endpoints follow their own policy; no assumption of a universal 200/401 response.</x:v>
      </x:c>
      <x:c r="K357" s="11" t="str"/>
      <x:c r="L357" s="11" t="str">
        <x:v>Not run</x:v>
      </x:c>
      <x:c r="M357" s="11" t="str"/>
      <x:c r="N357" s="11" t="str"/>
      <x:c r="O357" s="11" t="str"/>
      <x:c r="P357" s="11" t="str"/>
      <x:c r="Q357" s="11" t="str"/>
      <x:c r="R357" s="11" t="str"/>
      <x:c r="S357" s="10" t="str">
        <x:v>Sanitized HTTP request/response + before/after query</x:v>
      </x:c>
      <x:c r="T357" s="10" t="str">
        <x:v>src/app/api/member/profile/route.ts</x:v>
      </x:c>
      <x:c r="U357" s="10" t="str">
        <x:v>Reconcile tagged fixtures; archive/withdraw only owned test publications. Preserve audit/financial history.</x:v>
      </x:c>
      <x:c r="V357" s="12" t="str">
        <x:f>IF(A357="","",IF(L357="Not run","Pending",IF(OR(L357="Blocked",L357="Not deployed",L357="Not applicable"),IF(OR(K357="",R357=""),"Needs explanation","Recorded"),IF(OR(L357="Pass",L357="Fail"),IF(OR(K357="",M357="",P357=""),"Needs result/evidence/build","Recorded"),"Needs valid status"))))</x:f>
        <x:v>Pending</x:v>
      </x:c>
    </x:row>
    <x:row r="358" ht="52" customHeight="1">
      <x:c r="A358" s="10" t="str">
        <x:v>QA-0354</x:v>
      </x:c>
      <x:c r="B358" s="10" t="str">
        <x:v>T. API contract</x:v>
      </x:c>
      <x:c r="C358" s="10" t="str">
        <x:v>GET boundary: /api/member/profile</x:v>
      </x:c>
      <x:c r="D358" s="10" t="str">
        <x:v>/api/member/profile</x:v>
      </x:c>
      <x:c r="E358" s="10" t="str">
        <x:v>Technical tester</x:v>
      </x:c>
      <x:c r="F358" s="10" t="str">
        <x:v>P0</x:v>
      </x:c>
      <x:c r="G358" s="10" t="str">
        <x:v>Isolated only</x:v>
      </x:c>
      <x:c r="H358" s="10" t="str">
        <x:v>Record deployed build. Use assigned test accounts, synthetic data and approved fixtures/recipients only.</x:v>
      </x:c>
      <x:c r="I358" s="10" t="str">
        <x:v>Using isolated fixtures, replay GET /api/member/profile as anonymous, ordinary member, unrelated staff role and wrong owner as applicable. Test every current supported action separately; record authorization differences.</x:v>
      </x:c>
      <x:c r="J358" s="10" t="str">
        <x:v>Authorization matches action-specific grants/ownership/publication; authorized exceptions remain allowed and all unauthorized reads/writes denied without private leakage.</x:v>
      </x:c>
      <x:c r="K358" s="11" t="str"/>
      <x:c r="L358" s="11" t="str">
        <x:v>Not run</x:v>
      </x:c>
      <x:c r="M358" s="11" t="str"/>
      <x:c r="N358" s="11" t="str"/>
      <x:c r="O358" s="11" t="str"/>
      <x:c r="P358" s="11" t="str"/>
      <x:c r="Q358" s="11" t="str"/>
      <x:c r="R358" s="11" t="str"/>
      <x:c r="S358" s="10" t="str">
        <x:v>Role/request matrix + response + unchanged database</x:v>
      </x:c>
      <x:c r="T358" s="10" t="str">
        <x:v>src/app/api/member/profile/route.ts</x:v>
      </x:c>
      <x:c r="U358" s="10" t="str">
        <x:v>Reconcile tagged fixtures; archive/withdraw only owned test publications. Preserve audit/financial history.</x:v>
      </x:c>
      <x:c r="V358" s="12" t="str">
        <x:f>IF(A358="","",IF(L358="Not run","Pending",IF(OR(L358="Blocked",L358="Not deployed",L358="Not applicable"),IF(OR(K358="",R358=""),"Needs explanation","Recorded"),IF(OR(L358="Pass",L358="Fail"),IF(OR(K358="",M358="",P358=""),"Needs result/evidence/build","Recorded"),"Needs valid status"))))</x:f>
        <x:v>Pending</x:v>
      </x:c>
    </x:row>
    <x:row r="359" ht="66" customHeight="1">
      <x:c r="A359" s="10" t="str">
        <x:v>QA-0355</x:v>
      </x:c>
      <x:c r="B359" s="10" t="str">
        <x:v>T. API contract</x:v>
      </x:c>
      <x:c r="C359" s="10" t="str">
        <x:v>POST /api/member/profile</x:v>
      </x:c>
      <x:c r="D359" s="10" t="str">
        <x:v>/api/member/profile</x:v>
      </x:c>
      <x:c r="E359" s="10" t="str">
        <x:v>Technical tester</x:v>
      </x:c>
      <x:c r="F359" s="10" t="str">
        <x:v>P0</x:v>
      </x:c>
      <x:c r="G359" s="10" t="str">
        <x:v>Isolated only</x:v>
      </x:c>
      <x:c r="H359" s="10" t="str">
        <x:v>Isolated app/database; providers disabled or QA allowlist; exact request schema and fixture ID from current source/UI.</x:v>
      </x:c>
      <x:c r="I359" s="10" t="str">
        <x:v>Inspect route and delegated service contract for query/body/allowed actions. Capture a valid request from QA UI, replace dynamic IDs with owned fixture IDs, replay POST /api/member/profile once in isolated environment. Check status/body/headers and exact database/job effects.</x:v>
      </x:c>
      <x:c r="J359" s="10" t="str">
        <x:v>Valid supported request returns documented result; expected mutations only. Public/token endpoints follow their own policy; no assumption of a universal 200/401 response.</x:v>
      </x:c>
      <x:c r="K359" s="11" t="str"/>
      <x:c r="L359" s="11" t="str">
        <x:v>Not run</x:v>
      </x:c>
      <x:c r="M359" s="11" t="str"/>
      <x:c r="N359" s="11" t="str"/>
      <x:c r="O359" s="11" t="str"/>
      <x:c r="P359" s="11" t="str"/>
      <x:c r="Q359" s="11" t="str"/>
      <x:c r="R359" s="11" t="str"/>
      <x:c r="S359" s="10" t="str">
        <x:v>Sanitized HTTP request/response + before/after query</x:v>
      </x:c>
      <x:c r="T359" s="10" t="str">
        <x:v>src/app/api/member/profile/route.ts</x:v>
      </x:c>
      <x:c r="U359" s="10" t="str">
        <x:v>Reconcile tagged fixtures; archive/withdraw only owned test publications. Preserve audit/financial history.</x:v>
      </x:c>
      <x:c r="V359" s="12" t="str">
        <x:f>IF(A359="","",IF(L359="Not run","Pending",IF(OR(L359="Blocked",L359="Not deployed",L359="Not applicable"),IF(OR(K359="",R359=""),"Needs explanation","Recorded"),IF(OR(L359="Pass",L359="Fail"),IF(OR(K359="",M359="",P359=""),"Needs result/evidence/build","Recorded"),"Needs valid status"))))</x:f>
        <x:v>Pending</x:v>
      </x:c>
    </x:row>
    <x:row r="360" ht="52" customHeight="1">
      <x:c r="A360" s="10" t="str">
        <x:v>QA-0356</x:v>
      </x:c>
      <x:c r="B360" s="10" t="str">
        <x:v>T. API contract</x:v>
      </x:c>
      <x:c r="C360" s="10" t="str">
        <x:v>POST boundary: /api/member/profile</x:v>
      </x:c>
      <x:c r="D360" s="10" t="str">
        <x:v>/api/member/profile</x:v>
      </x:c>
      <x:c r="E360" s="10" t="str">
        <x:v>Technical tester</x:v>
      </x:c>
      <x:c r="F360" s="10" t="str">
        <x:v>P0</x:v>
      </x:c>
      <x:c r="G360" s="10" t="str">
        <x:v>Isolated only</x:v>
      </x:c>
      <x:c r="H360" s="10" t="str">
        <x:v>Record deployed build. Use assigned test accounts, synthetic data and approved fixtures/recipients only.</x:v>
      </x:c>
      <x:c r="I360" s="10" t="str">
        <x:v>Using isolated fixtures, replay POST /api/member/profile as anonymous, ordinary member, unrelated staff role and wrong owner as applicable. Test every current supported action separately; record authorization differences.</x:v>
      </x:c>
      <x:c r="J360" s="10" t="str">
        <x:v>Authorization matches action-specific grants/ownership/publication; authorized exceptions remain allowed and all unauthorized reads/writes denied without private leakage.</x:v>
      </x:c>
      <x:c r="K360" s="11" t="str"/>
      <x:c r="L360" s="11" t="str">
        <x:v>Not run</x:v>
      </x:c>
      <x:c r="M360" s="11" t="str"/>
      <x:c r="N360" s="11" t="str"/>
      <x:c r="O360" s="11" t="str"/>
      <x:c r="P360" s="11" t="str"/>
      <x:c r="Q360" s="11" t="str"/>
      <x:c r="R360" s="11" t="str"/>
      <x:c r="S360" s="10" t="str">
        <x:v>Role/request matrix + response + unchanged database</x:v>
      </x:c>
      <x:c r="T360" s="10" t="str">
        <x:v>src/app/api/member/profile/route.ts</x:v>
      </x:c>
      <x:c r="U360" s="10" t="str">
        <x:v>Reconcile tagged fixtures; archive/withdraw only owned test publications. Preserve audit/financial history.</x:v>
      </x:c>
      <x:c r="V360" s="12" t="str">
        <x:f>IF(A360="","",IF(L360="Not run","Pending",IF(OR(L360="Blocked",L360="Not deployed",L360="Not applicable"),IF(OR(K360="",R360=""),"Needs explanation","Recorded"),IF(OR(L360="Pass",L360="Fail"),IF(OR(K360="",M360="",P360=""),"Needs result/evidence/build","Recorded"),"Needs valid status"))))</x:f>
        <x:v>Pending</x:v>
      </x:c>
    </x:row>
    <x:row r="361" ht="66" customHeight="1">
      <x:c r="A361" s="10" t="str">
        <x:v>QA-0357</x:v>
      </x:c>
      <x:c r="B361" s="10" t="str">
        <x:v>T. API contract</x:v>
      </x:c>
      <x:c r="C361" s="10" t="str">
        <x:v>GET /api/member/verification</x:v>
      </x:c>
      <x:c r="D361" s="10" t="str">
        <x:v>/api/member/verification</x:v>
      </x:c>
      <x:c r="E361" s="10" t="str">
        <x:v>Technical tester</x:v>
      </x:c>
      <x:c r="F361" s="10" t="str">
        <x:v>P1</x:v>
      </x:c>
      <x:c r="G361" s="10" t="str">
        <x:v>Isolated only</x:v>
      </x:c>
      <x:c r="H361" s="10" t="str">
        <x:v>Isolated app/database; providers disabled or QA allowlist; exact request schema and fixture ID from current source/UI.</x:v>
      </x:c>
      <x:c r="I361" s="10" t="str">
        <x:v>Inspect route and delegated service contract for query/body/allowed actions. Capture a valid request from QA UI, replace dynamic IDs with owned fixture IDs, replay GET /api/member/verification once in isolated environment. Check status/body/headers and exact database/job effects.</x:v>
      </x:c>
      <x:c r="J361" s="10" t="str">
        <x:v>Valid supported request returns documented result; expected mutations only. Public/token endpoints follow their own policy; no assumption of a universal 200/401 response.</x:v>
      </x:c>
      <x:c r="K361" s="11" t="str"/>
      <x:c r="L361" s="11" t="str">
        <x:v>Not run</x:v>
      </x:c>
      <x:c r="M361" s="11" t="str"/>
      <x:c r="N361" s="11" t="str"/>
      <x:c r="O361" s="11" t="str"/>
      <x:c r="P361" s="11" t="str"/>
      <x:c r="Q361" s="11" t="str"/>
      <x:c r="R361" s="11" t="str"/>
      <x:c r="S361" s="10" t="str">
        <x:v>Sanitized HTTP request/response + before/after query</x:v>
      </x:c>
      <x:c r="T361" s="10" t="str">
        <x:v>src/app/api/member/verification/route.ts</x:v>
      </x:c>
      <x:c r="U361" s="10" t="str">
        <x:v>Reconcile tagged fixtures; archive/withdraw only owned test publications. Preserve audit/financial history.</x:v>
      </x:c>
      <x:c r="V361" s="12" t="str">
        <x:f>IF(A361="","",IF(L361="Not run","Pending",IF(OR(L361="Blocked",L361="Not deployed",L361="Not applicable"),IF(OR(K361="",R361=""),"Needs explanation","Recorded"),IF(OR(L361="Pass",L361="Fail"),IF(OR(K361="",M361="",P361=""),"Needs result/evidence/build","Recorded"),"Needs valid status"))))</x:f>
        <x:v>Pending</x:v>
      </x:c>
    </x:row>
    <x:row r="362" ht="52" customHeight="1">
      <x:c r="A362" s="10" t="str">
        <x:v>QA-0358</x:v>
      </x:c>
      <x:c r="B362" s="10" t="str">
        <x:v>T. API contract</x:v>
      </x:c>
      <x:c r="C362" s="10" t="str">
        <x:v>GET boundary: /api/member/verification</x:v>
      </x:c>
      <x:c r="D362" s="10" t="str">
        <x:v>/api/member/verification</x:v>
      </x:c>
      <x:c r="E362" s="10" t="str">
        <x:v>Technical tester</x:v>
      </x:c>
      <x:c r="F362" s="10" t="str">
        <x:v>P0</x:v>
      </x:c>
      <x:c r="G362" s="10" t="str">
        <x:v>Isolated only</x:v>
      </x:c>
      <x:c r="H362" s="10" t="str">
        <x:v>Record deployed build. Use assigned test accounts, synthetic data and approved fixtures/recipients only.</x:v>
      </x:c>
      <x:c r="I362" s="10" t="str">
        <x:v>Using isolated fixtures, replay GET /api/member/verification as anonymous, ordinary member, unrelated staff role and wrong owner as applicable. Test every current supported action separately; record authorization differences.</x:v>
      </x:c>
      <x:c r="J362" s="10" t="str">
        <x:v>Authorization matches action-specific grants/ownership/publication; authorized exceptions remain allowed and all unauthorized reads/writes denied without private leakage.</x:v>
      </x:c>
      <x:c r="K362" s="11" t="str"/>
      <x:c r="L362" s="11" t="str">
        <x:v>Not run</x:v>
      </x:c>
      <x:c r="M362" s="11" t="str"/>
      <x:c r="N362" s="11" t="str"/>
      <x:c r="O362" s="11" t="str"/>
      <x:c r="P362" s="11" t="str"/>
      <x:c r="Q362" s="11" t="str"/>
      <x:c r="R362" s="11" t="str"/>
      <x:c r="S362" s="10" t="str">
        <x:v>Role/request matrix + response + unchanged database</x:v>
      </x:c>
      <x:c r="T362" s="10" t="str">
        <x:v>src/app/api/member/verification/route.ts</x:v>
      </x:c>
      <x:c r="U362" s="10" t="str">
        <x:v>Reconcile tagged fixtures; archive/withdraw only owned test publications. Preserve audit/financial history.</x:v>
      </x:c>
      <x:c r="V362" s="12" t="str">
        <x:f>IF(A362="","",IF(L362="Not run","Pending",IF(OR(L362="Blocked",L362="Not deployed",L362="Not applicable"),IF(OR(K362="",R362=""),"Needs explanation","Recorded"),IF(OR(L362="Pass",L362="Fail"),IF(OR(K362="",M362="",P362=""),"Needs result/evidence/build","Recorded"),"Needs valid status"))))</x:f>
        <x:v>Pending</x:v>
      </x:c>
    </x:row>
    <x:row r="363" ht="66" customHeight="1">
      <x:c r="A363" s="10" t="str">
        <x:v>QA-0359</x:v>
      </x:c>
      <x:c r="B363" s="10" t="str">
        <x:v>T. API contract</x:v>
      </x:c>
      <x:c r="C363" s="10" t="str">
        <x:v>POST /api/member/verification</x:v>
      </x:c>
      <x:c r="D363" s="10" t="str">
        <x:v>/api/member/verification</x:v>
      </x:c>
      <x:c r="E363" s="10" t="str">
        <x:v>Technical tester</x:v>
      </x:c>
      <x:c r="F363" s="10" t="str">
        <x:v>P0</x:v>
      </x:c>
      <x:c r="G363" s="10" t="str">
        <x:v>Isolated only</x:v>
      </x:c>
      <x:c r="H363" s="10" t="str">
        <x:v>Isolated app/database; providers disabled or QA allowlist; exact request schema and fixture ID from current source/UI.</x:v>
      </x:c>
      <x:c r="I363" s="10" t="str">
        <x:v>Inspect route and delegated service contract for query/body/allowed actions. Capture a valid request from QA UI, replace dynamic IDs with owned fixture IDs, replay POST /api/member/verification once in isolated environment. Check status/body/headers and exact database/job effects.</x:v>
      </x:c>
      <x:c r="J363" s="10" t="str">
        <x:v>Valid supported request returns documented result; expected mutations only. Public/token endpoints follow their own policy; no assumption of a universal 200/401 response.</x:v>
      </x:c>
      <x:c r="K363" s="11" t="str"/>
      <x:c r="L363" s="11" t="str">
        <x:v>Not run</x:v>
      </x:c>
      <x:c r="M363" s="11" t="str"/>
      <x:c r="N363" s="11" t="str"/>
      <x:c r="O363" s="11" t="str"/>
      <x:c r="P363" s="11" t="str"/>
      <x:c r="Q363" s="11" t="str"/>
      <x:c r="R363" s="11" t="str"/>
      <x:c r="S363" s="10" t="str">
        <x:v>Sanitized HTTP request/response + before/after query</x:v>
      </x:c>
      <x:c r="T363" s="10" t="str">
        <x:v>src/app/api/member/verification/route.ts</x:v>
      </x:c>
      <x:c r="U363" s="10" t="str">
        <x:v>Reconcile tagged fixtures; archive/withdraw only owned test publications. Preserve audit/financial history.</x:v>
      </x:c>
      <x:c r="V363" s="12" t="str">
        <x:f>IF(A363="","",IF(L363="Not run","Pending",IF(OR(L363="Blocked",L363="Not deployed",L363="Not applicable"),IF(OR(K363="",R363=""),"Needs explanation","Recorded"),IF(OR(L363="Pass",L363="Fail"),IF(OR(K363="",M363="",P363=""),"Needs result/evidence/build","Recorded"),"Needs valid status"))))</x:f>
        <x:v>Pending</x:v>
      </x:c>
    </x:row>
    <x:row r="364" ht="52" customHeight="1">
      <x:c r="A364" s="10" t="str">
        <x:v>QA-0360</x:v>
      </x:c>
      <x:c r="B364" s="10" t="str">
        <x:v>T. API contract</x:v>
      </x:c>
      <x:c r="C364" s="10" t="str">
        <x:v>POST boundary: /api/member/verification</x:v>
      </x:c>
      <x:c r="D364" s="10" t="str">
        <x:v>/api/member/verification</x:v>
      </x:c>
      <x:c r="E364" s="10" t="str">
        <x:v>Technical tester</x:v>
      </x:c>
      <x:c r="F364" s="10" t="str">
        <x:v>P0</x:v>
      </x:c>
      <x:c r="G364" s="10" t="str">
        <x:v>Isolated only</x:v>
      </x:c>
      <x:c r="H364" s="10" t="str">
        <x:v>Record deployed build. Use assigned test accounts, synthetic data and approved fixtures/recipients only.</x:v>
      </x:c>
      <x:c r="I364" s="10" t="str">
        <x:v>Using isolated fixtures, replay POST /api/member/verification as anonymous, ordinary member, unrelated staff role and wrong owner as applicable. Test every current supported action separately; record authorization differences.</x:v>
      </x:c>
      <x:c r="J364" s="10" t="str">
        <x:v>Authorization matches action-specific grants/ownership/publication; authorized exceptions remain allowed and all unauthorized reads/writes denied without private leakage.</x:v>
      </x:c>
      <x:c r="K364" s="11" t="str"/>
      <x:c r="L364" s="11" t="str">
        <x:v>Not run</x:v>
      </x:c>
      <x:c r="M364" s="11" t="str"/>
      <x:c r="N364" s="11" t="str"/>
      <x:c r="O364" s="11" t="str"/>
      <x:c r="P364" s="11" t="str"/>
      <x:c r="Q364" s="11" t="str"/>
      <x:c r="R364" s="11" t="str"/>
      <x:c r="S364" s="10" t="str">
        <x:v>Role/request matrix + response + unchanged database</x:v>
      </x:c>
      <x:c r="T364" s="10" t="str">
        <x:v>src/app/api/member/verification/route.ts</x:v>
      </x:c>
      <x:c r="U364" s="10" t="str">
        <x:v>Reconcile tagged fixtures; archive/withdraw only owned test publications. Preserve audit/financial history.</x:v>
      </x:c>
      <x:c r="V364" s="12" t="str">
        <x:f>IF(A364="","",IF(L364="Not run","Pending",IF(OR(L364="Blocked",L364="Not deployed",L364="Not applicable"),IF(OR(K364="",R364=""),"Needs explanation","Recorded"),IF(OR(L364="Pass",L364="Fail"),IF(OR(K364="",M364="",P364=""),"Needs result/evidence/build","Recorded"),"Needs valid status"))))</x:f>
        <x:v>Pending</x:v>
      </x:c>
    </x:row>
    <x:row r="365" ht="66" customHeight="1">
      <x:c r="A365" s="10" t="str">
        <x:v>QA-0361</x:v>
      </x:c>
      <x:c r="B365" s="10" t="str">
        <x:v>T. API contract</x:v>
      </x:c>
      <x:c r="C365" s="10" t="str">
        <x:v>POST /api/onboarding/invitation</x:v>
      </x:c>
      <x:c r="D365" s="10" t="str">
        <x:v>/api/onboarding/invitation</x:v>
      </x:c>
      <x:c r="E365" s="10" t="str">
        <x:v>Technical tester</x:v>
      </x:c>
      <x:c r="F365" s="10" t="str">
        <x:v>P0</x:v>
      </x:c>
      <x:c r="G365" s="10" t="str">
        <x:v>Isolated only</x:v>
      </x:c>
      <x:c r="H365" s="10" t="str">
        <x:v>Isolated app/database; providers disabled or QA allowlist; exact request schema and fixture ID from current source/UI.</x:v>
      </x:c>
      <x:c r="I365" s="10" t="str">
        <x:v>Inspect route and delegated service contract for query/body/allowed actions. Capture a valid request from QA UI, replace dynamic IDs with owned fixture IDs, replay POST /api/onboarding/invitation once in isolated environment. Check status/body/headers and exact database/job effects.</x:v>
      </x:c>
      <x:c r="J365" s="10" t="str">
        <x:v>Valid supported request returns documented result; expected mutations only. Public/token endpoints follow their own policy; no assumption of a universal 200/401 response.</x:v>
      </x:c>
      <x:c r="K365" s="11" t="str"/>
      <x:c r="L365" s="11" t="str">
        <x:v>Not run</x:v>
      </x:c>
      <x:c r="M365" s="11" t="str"/>
      <x:c r="N365" s="11" t="str"/>
      <x:c r="O365" s="11" t="str"/>
      <x:c r="P365" s="11" t="str"/>
      <x:c r="Q365" s="11" t="str"/>
      <x:c r="R365" s="11" t="str"/>
      <x:c r="S365" s="10" t="str">
        <x:v>Sanitized HTTP request/response + before/after query</x:v>
      </x:c>
      <x:c r="T365" s="10" t="str">
        <x:v>src/app/api/onboarding/invitation/route.ts</x:v>
      </x:c>
      <x:c r="U365" s="10" t="str">
        <x:v>Reconcile tagged fixtures; archive/withdraw only owned test publications. Preserve audit/financial history.</x:v>
      </x:c>
      <x:c r="V365" s="12" t="str">
        <x:f>IF(A365="","",IF(L365="Not run","Pending",IF(OR(L365="Blocked",L365="Not deployed",L365="Not applicable"),IF(OR(K365="",R365=""),"Needs explanation","Recorded"),IF(OR(L365="Pass",L365="Fail"),IF(OR(K365="",M365="",P365=""),"Needs result/evidence/build","Recorded"),"Needs valid status"))))</x:f>
        <x:v>Pending</x:v>
      </x:c>
    </x:row>
    <x:row r="366" ht="66" customHeight="1">
      <x:c r="A366" s="10" t="str">
        <x:v>QA-0362</x:v>
      </x:c>
      <x:c r="B366" s="10" t="str">
        <x:v>T. API contract</x:v>
      </x:c>
      <x:c r="C366" s="10" t="str">
        <x:v>POST /api/onboarding/sign-in</x:v>
      </x:c>
      <x:c r="D366" s="10" t="str">
        <x:v>/api/onboarding/sign-in</x:v>
      </x:c>
      <x:c r="E366" s="10" t="str">
        <x:v>Technical tester</x:v>
      </x:c>
      <x:c r="F366" s="10" t="str">
        <x:v>P0</x:v>
      </x:c>
      <x:c r="G366" s="10" t="str">
        <x:v>Isolated only</x:v>
      </x:c>
      <x:c r="H366" s="10" t="str">
        <x:v>Isolated app/database; providers disabled or QA allowlist; exact request schema and fixture ID from current source/UI.</x:v>
      </x:c>
      <x:c r="I366" s="10" t="str">
        <x:v>Inspect route and delegated service contract for query/body/allowed actions. Capture a valid request from QA UI, replace dynamic IDs with owned fixture IDs, replay POST /api/onboarding/sign-in once in isolated environment. Check status/body/headers and exact database/job effects.</x:v>
      </x:c>
      <x:c r="J366" s="10" t="str">
        <x:v>Valid supported request returns documented result; expected mutations only. Public/token endpoints follow their own policy; no assumption of a universal 200/401 response.</x:v>
      </x:c>
      <x:c r="K366" s="11" t="str"/>
      <x:c r="L366" s="11" t="str">
        <x:v>Not run</x:v>
      </x:c>
      <x:c r="M366" s="11" t="str"/>
      <x:c r="N366" s="11" t="str"/>
      <x:c r="O366" s="11" t="str"/>
      <x:c r="P366" s="11" t="str"/>
      <x:c r="Q366" s="11" t="str"/>
      <x:c r="R366" s="11" t="str"/>
      <x:c r="S366" s="10" t="str">
        <x:v>Sanitized HTTP request/response + before/after query</x:v>
      </x:c>
      <x:c r="T366" s="10" t="str">
        <x:v>src/app/api/onboarding/sign-in/route.ts</x:v>
      </x:c>
      <x:c r="U366" s="10" t="str">
        <x:v>Reconcile tagged fixtures; archive/withdraw only owned test publications. Preserve audit/financial history.</x:v>
      </x:c>
      <x:c r="V366" s="12" t="str">
        <x:f>IF(A366="","",IF(L366="Not run","Pending",IF(OR(L366="Blocked",L366="Not deployed",L366="Not applicable"),IF(OR(K366="",R366=""),"Needs explanation","Recorded"),IF(OR(L366="Pass",L366="Fail"),IF(OR(K366="",M366="",P366=""),"Needs result/evidence/build","Recorded"),"Needs valid status"))))</x:f>
        <x:v>Pending</x:v>
      </x:c>
    </x:row>
    <x:row r="367" ht="66" customHeight="1">
      <x:c r="A367" s="10" t="str">
        <x:v>QA-0363</x:v>
      </x:c>
      <x:c r="B367" s="10" t="str">
        <x:v>T. API contract</x:v>
      </x:c>
      <x:c r="C367" s="10" t="str">
        <x:v>GET /api/payment-qr/[id]</x:v>
      </x:c>
      <x:c r="D367" s="10" t="str">
        <x:v>/api/payment-qr/[id]</x:v>
      </x:c>
      <x:c r="E367" s="10" t="str">
        <x:v>Technical tester</x:v>
      </x:c>
      <x:c r="F367" s="10" t="str">
        <x:v>P1</x:v>
      </x:c>
      <x:c r="G367" s="10" t="str">
        <x:v>Isolated only</x:v>
      </x:c>
      <x:c r="H367" s="10" t="str">
        <x:v>Isolated app/database; providers disabled or QA allowlist; exact request schema and fixture ID from current source/UI.</x:v>
      </x:c>
      <x:c r="I367" s="10" t="str">
        <x:v>Inspect route and delegated service contract for query/body/allowed actions. Capture a valid request from QA UI, replace dynamic IDs with owned fixture IDs, replay GET /api/payment-qr/[id] once in isolated environment. Check status/body/headers and exact database/job effects.</x:v>
      </x:c>
      <x:c r="J367" s="10" t="str">
        <x:v>Valid supported request returns documented result; expected mutations only. Public/token endpoints follow their own policy; no assumption of a universal 200/401 response.</x:v>
      </x:c>
      <x:c r="K367" s="11" t="str"/>
      <x:c r="L367" s="11" t="str">
        <x:v>Not run</x:v>
      </x:c>
      <x:c r="M367" s="11" t="str"/>
      <x:c r="N367" s="11" t="str"/>
      <x:c r="O367" s="11" t="str"/>
      <x:c r="P367" s="11" t="str"/>
      <x:c r="Q367" s="11" t="str"/>
      <x:c r="R367" s="11" t="str"/>
      <x:c r="S367" s="10" t="str">
        <x:v>Sanitized HTTP request/response + before/after query</x:v>
      </x:c>
      <x:c r="T367" s="10" t="str">
        <x:v>src/app/api/payment-qr/[id]/route.ts</x:v>
      </x:c>
      <x:c r="U367" s="10" t="str">
        <x:v>Reconcile tagged fixtures; archive/withdraw only owned test publications. Preserve audit/financial history.</x:v>
      </x:c>
      <x:c r="V367" s="12" t="str">
        <x:f>IF(A367="","",IF(L367="Not run","Pending",IF(OR(L367="Blocked",L367="Not deployed",L367="Not applicable"),IF(OR(K367="",R367=""),"Needs explanation","Recorded"),IF(OR(L367="Pass",L367="Fail"),IF(OR(K367="",M367="",P367=""),"Needs result/evidence/build","Recorded"),"Needs valid status"))))</x:f>
        <x:v>Pending</x:v>
      </x:c>
    </x:row>
    <x:row r="368" ht="52" customHeight="1">
      <x:c r="A368" s="10" t="str">
        <x:v>QA-0364</x:v>
      </x:c>
      <x:c r="B368" s="10" t="str">
        <x:v>T. API contract</x:v>
      </x:c>
      <x:c r="C368" s="10" t="str">
        <x:v>GET boundary: /api/payment-qr/[id]</x:v>
      </x:c>
      <x:c r="D368" s="10" t="str">
        <x:v>/api/payment-qr/[id]</x:v>
      </x:c>
      <x:c r="E368" s="10" t="str">
        <x:v>Technical tester</x:v>
      </x:c>
      <x:c r="F368" s="10" t="str">
        <x:v>P0</x:v>
      </x:c>
      <x:c r="G368" s="10" t="str">
        <x:v>Isolated only</x:v>
      </x:c>
      <x:c r="H368" s="10" t="str">
        <x:v>Record deployed build. Use assigned test accounts, synthetic data and approved fixtures/recipients only.</x:v>
      </x:c>
      <x:c r="I368" s="10" t="str">
        <x:v>Using isolated fixtures, replay GET /api/payment-qr/[id] as anonymous, ordinary member, unrelated staff role and wrong owner as applicable. Test every current supported action separately; record authorization differences.</x:v>
      </x:c>
      <x:c r="J368" s="10" t="str">
        <x:v>Authorization matches action-specific grants/ownership/publication; authorized exceptions remain allowed and all unauthorized reads/writes denied without private leakage.</x:v>
      </x:c>
      <x:c r="K368" s="11" t="str"/>
      <x:c r="L368" s="11" t="str">
        <x:v>Not run</x:v>
      </x:c>
      <x:c r="M368" s="11" t="str"/>
      <x:c r="N368" s="11" t="str"/>
      <x:c r="O368" s="11" t="str"/>
      <x:c r="P368" s="11" t="str"/>
      <x:c r="Q368" s="11" t="str"/>
      <x:c r="R368" s="11" t="str"/>
      <x:c r="S368" s="10" t="str">
        <x:v>Role/request matrix + response + unchanged database</x:v>
      </x:c>
      <x:c r="T368" s="10" t="str">
        <x:v>src/app/api/payment-qr/[id]/route.ts</x:v>
      </x:c>
      <x:c r="U368" s="10" t="str">
        <x:v>Reconcile tagged fixtures; archive/withdraw only owned test publications. Preserve audit/financial history.</x:v>
      </x:c>
      <x:c r="V368" s="12" t="str">
        <x:f>IF(A368="","",IF(L368="Not run","Pending",IF(OR(L368="Blocked",L368="Not deployed",L368="Not applicable"),IF(OR(K368="",R368=""),"Needs explanation","Recorded"),IF(OR(L368="Pass",L368="Fail"),IF(OR(K368="",M368="",P368=""),"Needs result/evidence/build","Recorded"),"Needs valid status"))))</x:f>
        <x:v>Pending</x:v>
      </x:c>
    </x:row>
    <x:row r="369" ht="66" customHeight="1">
      <x:c r="A369" s="10" t="str">
        <x:v>QA-0365</x:v>
      </x:c>
      <x:c r="B369" s="10" t="str">
        <x:v>T. API contract</x:v>
      </x:c>
      <x:c r="C369" s="10" t="str">
        <x:v>GET /api/profile-portraits/[id]</x:v>
      </x:c>
      <x:c r="D369" s="10" t="str">
        <x:v>/api/profile-portraits/[id]</x:v>
      </x:c>
      <x:c r="E369" s="10" t="str">
        <x:v>Technical tester</x:v>
      </x:c>
      <x:c r="F369" s="10" t="str">
        <x:v>P1</x:v>
      </x:c>
      <x:c r="G369" s="10" t="str">
        <x:v>Isolated only</x:v>
      </x:c>
      <x:c r="H369" s="10" t="str">
        <x:v>Isolated app/database; providers disabled or QA allowlist; exact request schema and fixture ID from current source/UI.</x:v>
      </x:c>
      <x:c r="I369" s="10" t="str">
        <x:v>Inspect route and delegated service contract for query/body/allowed actions. Capture a valid request from QA UI, replace dynamic IDs with owned fixture IDs, replay GET /api/profile-portraits/[id] once in isolated environment. Check status/body/headers and exact database/job effects.</x:v>
      </x:c>
      <x:c r="J369" s="10" t="str">
        <x:v>Valid supported request returns documented result; expected mutations only. Public/token endpoints follow their own policy; no assumption of a universal 200/401 response.</x:v>
      </x:c>
      <x:c r="K369" s="11" t="str"/>
      <x:c r="L369" s="11" t="str">
        <x:v>Not run</x:v>
      </x:c>
      <x:c r="M369" s="11" t="str"/>
      <x:c r="N369" s="11" t="str"/>
      <x:c r="O369" s="11" t="str"/>
      <x:c r="P369" s="11" t="str"/>
      <x:c r="Q369" s="11" t="str"/>
      <x:c r="R369" s="11" t="str"/>
      <x:c r="S369" s="10" t="str">
        <x:v>Sanitized HTTP request/response + before/after query</x:v>
      </x:c>
      <x:c r="T369" s="10" t="str">
        <x:v>src/app/api/profile-portraits/[id]/route.ts</x:v>
      </x:c>
      <x:c r="U369" s="10" t="str">
        <x:v>Reconcile tagged fixtures; archive/withdraw only owned test publications. Preserve audit/financial history.</x:v>
      </x:c>
      <x:c r="V369" s="12" t="str">
        <x:f>IF(A369="","",IF(L369="Not run","Pending",IF(OR(L369="Blocked",L369="Not deployed",L369="Not applicable"),IF(OR(K369="",R369=""),"Needs explanation","Recorded"),IF(OR(L369="Pass",L369="Fail"),IF(OR(K369="",M369="",P369=""),"Needs result/evidence/build","Recorded"),"Needs valid status"))))</x:f>
        <x:v>Pending</x:v>
      </x:c>
    </x:row>
    <x:row r="370" ht="52" customHeight="1">
      <x:c r="A370" s="10" t="str">
        <x:v>QA-0366</x:v>
      </x:c>
      <x:c r="B370" s="10" t="str">
        <x:v>T. API contract</x:v>
      </x:c>
      <x:c r="C370" s="10" t="str">
        <x:v>GET boundary: /api/profile-portraits/[id]</x:v>
      </x:c>
      <x:c r="D370" s="10" t="str">
        <x:v>/api/profile-portraits/[id]</x:v>
      </x:c>
      <x:c r="E370" s="10" t="str">
        <x:v>Technical tester</x:v>
      </x:c>
      <x:c r="F370" s="10" t="str">
        <x:v>P0</x:v>
      </x:c>
      <x:c r="G370" s="10" t="str">
        <x:v>Isolated only</x:v>
      </x:c>
      <x:c r="H370" s="10" t="str">
        <x:v>Record deployed build. Use assigned test accounts, synthetic data and approved fixtures/recipients only.</x:v>
      </x:c>
      <x:c r="I370" s="10" t="str">
        <x:v>Using isolated fixtures, replay GET /api/profile-portraits/[id] as anonymous, ordinary member, unrelated staff role and wrong owner as applicable. Test every current supported action separately; record authorization differences.</x:v>
      </x:c>
      <x:c r="J370" s="10" t="str">
        <x:v>Authorization matches action-specific grants/ownership/publication; authorized exceptions remain allowed and all unauthorized reads/writes denied without private leakage.</x:v>
      </x:c>
      <x:c r="K370" s="11" t="str"/>
      <x:c r="L370" s="11" t="str">
        <x:v>Not run</x:v>
      </x:c>
      <x:c r="M370" s="11" t="str"/>
      <x:c r="N370" s="11" t="str"/>
      <x:c r="O370" s="11" t="str"/>
      <x:c r="P370" s="11" t="str"/>
      <x:c r="Q370" s="11" t="str"/>
      <x:c r="R370" s="11" t="str"/>
      <x:c r="S370" s="10" t="str">
        <x:v>Role/request matrix + response + unchanged database</x:v>
      </x:c>
      <x:c r="T370" s="10" t="str">
        <x:v>src/app/api/profile-portraits/[id]/route.ts</x:v>
      </x:c>
      <x:c r="U370" s="10" t="str">
        <x:v>Reconcile tagged fixtures; archive/withdraw only owned test publications. Preserve audit/financial history.</x:v>
      </x:c>
      <x:c r="V370" s="12" t="str">
        <x:f>IF(A370="","",IF(L370="Not run","Pending",IF(OR(L370="Blocked",L370="Not deployed",L370="Not applicable"),IF(OR(K370="",R370=""),"Needs explanation","Recorded"),IF(OR(L370="Pass",L370="Fail"),IF(OR(K370="",M370="",P370=""),"Needs result/evidence/build","Recorded"),"Needs valid status"))))</x:f>
        <x:v>Pending</x:v>
      </x:c>
    </x:row>
    <x:row r="371" ht="66" customHeight="1">
      <x:c r="A371" s="10" t="str">
        <x:v>QA-0367</x:v>
      </x:c>
      <x:c r="B371" s="10" t="str">
        <x:v>T. API contract</x:v>
      </x:c>
      <x:c r="C371" s="10" t="str">
        <x:v>GET /api/profile-portraits</x:v>
      </x:c>
      <x:c r="D371" s="10" t="str">
        <x:v>/api/profile-portraits</x:v>
      </x:c>
      <x:c r="E371" s="10" t="str">
        <x:v>Technical tester</x:v>
      </x:c>
      <x:c r="F371" s="10" t="str">
        <x:v>P1</x:v>
      </x:c>
      <x:c r="G371" s="10" t="str">
        <x:v>Isolated only</x:v>
      </x:c>
      <x:c r="H371" s="10" t="str">
        <x:v>Isolated app/database; providers disabled or QA allowlist; exact request schema and fixture ID from current source/UI.</x:v>
      </x:c>
      <x:c r="I371" s="10" t="str">
        <x:v>Inspect route and delegated service contract for query/body/allowed actions. Capture a valid request from QA UI, replace dynamic IDs with owned fixture IDs, replay GET /api/profile-portraits once in isolated environment. Check status/body/headers and exact database/job effects.</x:v>
      </x:c>
      <x:c r="J371" s="10" t="str">
        <x:v>Valid supported request returns documented result; expected mutations only. Public/token endpoints follow their own policy; no assumption of a universal 200/401 response.</x:v>
      </x:c>
      <x:c r="K371" s="11" t="str"/>
      <x:c r="L371" s="11" t="str">
        <x:v>Not run</x:v>
      </x:c>
      <x:c r="M371" s="11" t="str"/>
      <x:c r="N371" s="11" t="str"/>
      <x:c r="O371" s="11" t="str"/>
      <x:c r="P371" s="11" t="str"/>
      <x:c r="Q371" s="11" t="str"/>
      <x:c r="R371" s="11" t="str"/>
      <x:c r="S371" s="10" t="str">
        <x:v>Sanitized HTTP request/response + before/after query</x:v>
      </x:c>
      <x:c r="T371" s="10" t="str">
        <x:v>src/app/api/profile-portraits/route.ts</x:v>
      </x:c>
      <x:c r="U371" s="10" t="str">
        <x:v>Reconcile tagged fixtures; archive/withdraw only owned test publications. Preserve audit/financial history.</x:v>
      </x:c>
      <x:c r="V371" s="12" t="str">
        <x:f>IF(A371="","",IF(L371="Not run","Pending",IF(OR(L371="Blocked",L371="Not deployed",L371="Not applicable"),IF(OR(K371="",R371=""),"Needs explanation","Recorded"),IF(OR(L371="Pass",L371="Fail"),IF(OR(K371="",M371="",P371=""),"Needs result/evidence/build","Recorded"),"Needs valid status"))))</x:f>
        <x:v>Pending</x:v>
      </x:c>
    </x:row>
    <x:row r="372" ht="52" customHeight="1">
      <x:c r="A372" s="10" t="str">
        <x:v>QA-0368</x:v>
      </x:c>
      <x:c r="B372" s="10" t="str">
        <x:v>T. API contract</x:v>
      </x:c>
      <x:c r="C372" s="10" t="str">
        <x:v>GET boundary: /api/profile-portraits</x:v>
      </x:c>
      <x:c r="D372" s="10" t="str">
        <x:v>/api/profile-portraits</x:v>
      </x:c>
      <x:c r="E372" s="10" t="str">
        <x:v>Technical tester</x:v>
      </x:c>
      <x:c r="F372" s="10" t="str">
        <x:v>P0</x:v>
      </x:c>
      <x:c r="G372" s="10" t="str">
        <x:v>Isolated only</x:v>
      </x:c>
      <x:c r="H372" s="10" t="str">
        <x:v>Record deployed build. Use assigned test accounts, synthetic data and approved fixtures/recipients only.</x:v>
      </x:c>
      <x:c r="I372" s="10" t="str">
        <x:v>Using isolated fixtures, replay GET /api/profile-portraits as anonymous, ordinary member, unrelated staff role and wrong owner as applicable. Test every current supported action separately; record authorization differences.</x:v>
      </x:c>
      <x:c r="J372" s="10" t="str">
        <x:v>Authorization matches action-specific grants/ownership/publication; authorized exceptions remain allowed and all unauthorized reads/writes denied without private leakage.</x:v>
      </x:c>
      <x:c r="K372" s="11" t="str"/>
      <x:c r="L372" s="11" t="str">
        <x:v>Not run</x:v>
      </x:c>
      <x:c r="M372" s="11" t="str"/>
      <x:c r="N372" s="11" t="str"/>
      <x:c r="O372" s="11" t="str"/>
      <x:c r="P372" s="11" t="str"/>
      <x:c r="Q372" s="11" t="str"/>
      <x:c r="R372" s="11" t="str"/>
      <x:c r="S372" s="10" t="str">
        <x:v>Role/request matrix + response + unchanged database</x:v>
      </x:c>
      <x:c r="T372" s="10" t="str">
        <x:v>src/app/api/profile-portraits/route.ts</x:v>
      </x:c>
      <x:c r="U372" s="10" t="str">
        <x:v>Reconcile tagged fixtures; archive/withdraw only owned test publications. Preserve audit/financial history.</x:v>
      </x:c>
      <x:c r="V372" s="12" t="str">
        <x:f>IF(A372="","",IF(L372="Not run","Pending",IF(OR(L372="Blocked",L372="Not deployed",L372="Not applicable"),IF(OR(K372="",R372=""),"Needs explanation","Recorded"),IF(OR(L372="Pass",L372="Fail"),IF(OR(K372="",M372="",P372=""),"Needs result/evidence/build","Recorded"),"Needs valid status"))))</x:f>
        <x:v>Pending</x:v>
      </x:c>
    </x:row>
    <x:row r="373" ht="66" customHeight="1">
      <x:c r="A373" s="10" t="str">
        <x:v>QA-0369</x:v>
      </x:c>
      <x:c r="B373" s="10" t="str">
        <x:v>T. API contract</x:v>
      </x:c>
      <x:c r="C373" s="10" t="str">
        <x:v>POST /api/profile-portraits</x:v>
      </x:c>
      <x:c r="D373" s="10" t="str">
        <x:v>/api/profile-portraits</x:v>
      </x:c>
      <x:c r="E373" s="10" t="str">
        <x:v>Technical tester</x:v>
      </x:c>
      <x:c r="F373" s="10" t="str">
        <x:v>P0</x:v>
      </x:c>
      <x:c r="G373" s="10" t="str">
        <x:v>Isolated only</x:v>
      </x:c>
      <x:c r="H373" s="10" t="str">
        <x:v>Isolated app/database; providers disabled or QA allowlist; exact request schema and fixture ID from current source/UI.</x:v>
      </x:c>
      <x:c r="I373" s="10" t="str">
        <x:v>Inspect route and delegated service contract for query/body/allowed actions. Capture a valid request from QA UI, replace dynamic IDs with owned fixture IDs, replay POST /api/profile-portraits once in isolated environment. Check status/body/headers and exact database/job effects.</x:v>
      </x:c>
      <x:c r="J373" s="10" t="str">
        <x:v>Valid supported request returns documented result; expected mutations only. Public/token endpoints follow their own policy; no assumption of a universal 200/401 response.</x:v>
      </x:c>
      <x:c r="K373" s="11" t="str"/>
      <x:c r="L373" s="11" t="str">
        <x:v>Not run</x:v>
      </x:c>
      <x:c r="M373" s="11" t="str"/>
      <x:c r="N373" s="11" t="str"/>
      <x:c r="O373" s="11" t="str"/>
      <x:c r="P373" s="11" t="str"/>
      <x:c r="Q373" s="11" t="str"/>
      <x:c r="R373" s="11" t="str"/>
      <x:c r="S373" s="10" t="str">
        <x:v>Sanitized HTTP request/response + before/after query</x:v>
      </x:c>
      <x:c r="T373" s="10" t="str">
        <x:v>src/app/api/profile-portraits/route.ts</x:v>
      </x:c>
      <x:c r="U373" s="10" t="str">
        <x:v>Reconcile tagged fixtures; archive/withdraw only owned test publications. Preserve audit/financial history.</x:v>
      </x:c>
      <x:c r="V373" s="12" t="str">
        <x:f>IF(A373="","",IF(L373="Not run","Pending",IF(OR(L373="Blocked",L373="Not deployed",L373="Not applicable"),IF(OR(K373="",R373=""),"Needs explanation","Recorded"),IF(OR(L373="Pass",L373="Fail"),IF(OR(K373="",M373="",P373=""),"Needs result/evidence/build","Recorded"),"Needs valid status"))))</x:f>
        <x:v>Pending</x:v>
      </x:c>
    </x:row>
    <x:row r="374" ht="52" customHeight="1">
      <x:c r="A374" s="10" t="str">
        <x:v>QA-0370</x:v>
      </x:c>
      <x:c r="B374" s="10" t="str">
        <x:v>T. API contract</x:v>
      </x:c>
      <x:c r="C374" s="10" t="str">
        <x:v>POST boundary: /api/profile-portraits</x:v>
      </x:c>
      <x:c r="D374" s="10" t="str">
        <x:v>/api/profile-portraits</x:v>
      </x:c>
      <x:c r="E374" s="10" t="str">
        <x:v>Technical tester</x:v>
      </x:c>
      <x:c r="F374" s="10" t="str">
        <x:v>P0</x:v>
      </x:c>
      <x:c r="G374" s="10" t="str">
        <x:v>Isolated only</x:v>
      </x:c>
      <x:c r="H374" s="10" t="str">
        <x:v>Record deployed build. Use assigned test accounts, synthetic data and approved fixtures/recipients only.</x:v>
      </x:c>
      <x:c r="I374" s="10" t="str">
        <x:v>Using isolated fixtures, replay POST /api/profile-portraits as anonymous, ordinary member, unrelated staff role and wrong owner as applicable. Test every current supported action separately; record authorization differences.</x:v>
      </x:c>
      <x:c r="J374" s="10" t="str">
        <x:v>Authorization matches action-specific grants/ownership/publication; authorized exceptions remain allowed and all unauthorized reads/writes denied without private leakage.</x:v>
      </x:c>
      <x:c r="K374" s="11" t="str"/>
      <x:c r="L374" s="11" t="str">
        <x:v>Not run</x:v>
      </x:c>
      <x:c r="M374" s="11" t="str"/>
      <x:c r="N374" s="11" t="str"/>
      <x:c r="O374" s="11" t="str"/>
      <x:c r="P374" s="11" t="str"/>
      <x:c r="Q374" s="11" t="str"/>
      <x:c r="R374" s="11" t="str"/>
      <x:c r="S374" s="10" t="str">
        <x:v>Role/request matrix + response + unchanged database</x:v>
      </x:c>
      <x:c r="T374" s="10" t="str">
        <x:v>src/app/api/profile-portraits/route.ts</x:v>
      </x:c>
      <x:c r="U374" s="10" t="str">
        <x:v>Reconcile tagged fixtures; archive/withdraw only owned test publications. Preserve audit/financial history.</x:v>
      </x:c>
      <x:c r="V374" s="12" t="str">
        <x:f>IF(A374="","",IF(L374="Not run","Pending",IF(OR(L374="Blocked",L374="Not deployed",L374="Not applicable"),IF(OR(K374="",R374=""),"Needs explanation","Recorded"),IF(OR(L374="Pass",L374="Fail"),IF(OR(K374="",M374="",P374=""),"Needs result/evidence/build","Recorded"),"Needs valid status"))))</x:f>
        <x:v>Pending</x:v>
      </x:c>
    </x:row>
    <x:row r="375" ht="66" customHeight="1">
      <x:c r="A375" s="10" t="str">
        <x:v>QA-0371</x:v>
      </x:c>
      <x:c r="B375" s="10" t="str">
        <x:v>T. API contract</x:v>
      </x:c>
      <x:c r="C375" s="10" t="str">
        <x:v>GET /api/staff/access</x:v>
      </x:c>
      <x:c r="D375" s="10" t="str">
        <x:v>/api/staff/access</x:v>
      </x:c>
      <x:c r="E375" s="10" t="str">
        <x:v>Technical tester</x:v>
      </x:c>
      <x:c r="F375" s="10" t="str">
        <x:v>P1</x:v>
      </x:c>
      <x:c r="G375" s="10" t="str">
        <x:v>Isolated only</x:v>
      </x:c>
      <x:c r="H375" s="10" t="str">
        <x:v>Isolated app/database; providers disabled or QA allowlist; exact request schema and fixture ID from current source/UI.</x:v>
      </x:c>
      <x:c r="I375" s="10" t="str">
        <x:v>Inspect route and delegated service contract for query/body/allowed actions. Capture a valid request from QA UI, replace dynamic IDs with owned fixture IDs, replay GET /api/staff/access once in isolated environment. Check status/body/headers and exact database/job effects.</x:v>
      </x:c>
      <x:c r="J375" s="10" t="str">
        <x:v>Valid supported request returns documented result; expected mutations only. Public/token endpoints follow their own policy; no assumption of a universal 200/401 response.</x:v>
      </x:c>
      <x:c r="K375" s="11" t="str"/>
      <x:c r="L375" s="11" t="str">
        <x:v>Not run</x:v>
      </x:c>
      <x:c r="M375" s="11" t="str"/>
      <x:c r="N375" s="11" t="str"/>
      <x:c r="O375" s="11" t="str"/>
      <x:c r="P375" s="11" t="str"/>
      <x:c r="Q375" s="11" t="str"/>
      <x:c r="R375" s="11" t="str"/>
      <x:c r="S375" s="10" t="str">
        <x:v>Sanitized HTTP request/response + before/after query</x:v>
      </x:c>
      <x:c r="T375" s="10" t="str">
        <x:v>src/app/api/staff/access/route.ts</x:v>
      </x:c>
      <x:c r="U375" s="10" t="str">
        <x:v>Reconcile tagged fixtures; archive/withdraw only owned test publications. Preserve audit/financial history.</x:v>
      </x:c>
      <x:c r="V375" s="12" t="str">
        <x:f>IF(A375="","",IF(L375="Not run","Pending",IF(OR(L375="Blocked",L375="Not deployed",L375="Not applicable"),IF(OR(K375="",R375=""),"Needs explanation","Recorded"),IF(OR(L375="Pass",L375="Fail"),IF(OR(K375="",M375="",P375=""),"Needs result/evidence/build","Recorded"),"Needs valid status"))))</x:f>
        <x:v>Pending</x:v>
      </x:c>
    </x:row>
    <x:row r="376" ht="52" customHeight="1">
      <x:c r="A376" s="10" t="str">
        <x:v>QA-0372</x:v>
      </x:c>
      <x:c r="B376" s="10" t="str">
        <x:v>T. API contract</x:v>
      </x:c>
      <x:c r="C376" s="10" t="str">
        <x:v>GET boundary: /api/staff/access</x:v>
      </x:c>
      <x:c r="D376" s="10" t="str">
        <x:v>/api/staff/access</x:v>
      </x:c>
      <x:c r="E376" s="10" t="str">
        <x:v>Technical tester</x:v>
      </x:c>
      <x:c r="F376" s="10" t="str">
        <x:v>P0</x:v>
      </x:c>
      <x:c r="G376" s="10" t="str">
        <x:v>Isolated only</x:v>
      </x:c>
      <x:c r="H376" s="10" t="str">
        <x:v>Record deployed build. Use assigned test accounts, synthetic data and approved fixtures/recipients only.</x:v>
      </x:c>
      <x:c r="I376" s="10" t="str">
        <x:v>Using isolated fixtures, replay GET /api/staff/access as anonymous, ordinary member, unrelated staff role and wrong owner as applicable. Test every current supported action separately; record authorization differences.</x:v>
      </x:c>
      <x:c r="J376" s="10" t="str">
        <x:v>Authorization matches action-specific grants/ownership/publication; authorized exceptions remain allowed and all unauthorized reads/writes denied without private leakage.</x:v>
      </x:c>
      <x:c r="K376" s="11" t="str"/>
      <x:c r="L376" s="11" t="str">
        <x:v>Not run</x:v>
      </x:c>
      <x:c r="M376" s="11" t="str"/>
      <x:c r="N376" s="11" t="str"/>
      <x:c r="O376" s="11" t="str"/>
      <x:c r="P376" s="11" t="str"/>
      <x:c r="Q376" s="11" t="str"/>
      <x:c r="R376" s="11" t="str"/>
      <x:c r="S376" s="10" t="str">
        <x:v>Role/request matrix + response + unchanged database</x:v>
      </x:c>
      <x:c r="T376" s="10" t="str">
        <x:v>src/app/api/staff/access/route.ts</x:v>
      </x:c>
      <x:c r="U376" s="10" t="str">
        <x:v>Reconcile tagged fixtures; archive/withdraw only owned test publications. Preserve audit/financial history.</x:v>
      </x:c>
      <x:c r="V376" s="12" t="str">
        <x:f>IF(A376="","",IF(L376="Not run","Pending",IF(OR(L376="Blocked",L376="Not deployed",L376="Not applicable"),IF(OR(K376="",R376=""),"Needs explanation","Recorded"),IF(OR(L376="Pass",L376="Fail"),IF(OR(K376="",M376="",P376=""),"Needs result/evidence/build","Recorded"),"Needs valid status"))))</x:f>
        <x:v>Pending</x:v>
      </x:c>
    </x:row>
    <x:row r="377" ht="66" customHeight="1">
      <x:c r="A377" s="10" t="str">
        <x:v>QA-0373</x:v>
      </x:c>
      <x:c r="B377" s="10" t="str">
        <x:v>T. API contract</x:v>
      </x:c>
      <x:c r="C377" s="10" t="str">
        <x:v>POST /api/staff/access</x:v>
      </x:c>
      <x:c r="D377" s="10" t="str">
        <x:v>/api/staff/access</x:v>
      </x:c>
      <x:c r="E377" s="10" t="str">
        <x:v>Technical tester</x:v>
      </x:c>
      <x:c r="F377" s="10" t="str">
        <x:v>P0</x:v>
      </x:c>
      <x:c r="G377" s="10" t="str">
        <x:v>Isolated only</x:v>
      </x:c>
      <x:c r="H377" s="10" t="str">
        <x:v>Isolated app/database; providers disabled or QA allowlist; exact request schema and fixture ID from current source/UI.</x:v>
      </x:c>
      <x:c r="I377" s="10" t="str">
        <x:v>Inspect route and delegated service contract for query/body/allowed actions. Capture a valid request from QA UI, replace dynamic IDs with owned fixture IDs, replay POST /api/staff/access once in isolated environment. Check status/body/headers and exact database/job effects.</x:v>
      </x:c>
      <x:c r="J377" s="10" t="str">
        <x:v>Valid supported request returns documented result; expected mutations only. Public/token endpoints follow their own policy; no assumption of a universal 200/401 response.</x:v>
      </x:c>
      <x:c r="K377" s="11" t="str"/>
      <x:c r="L377" s="11" t="str">
        <x:v>Not run</x:v>
      </x:c>
      <x:c r="M377" s="11" t="str"/>
      <x:c r="N377" s="11" t="str"/>
      <x:c r="O377" s="11" t="str"/>
      <x:c r="P377" s="11" t="str"/>
      <x:c r="Q377" s="11" t="str"/>
      <x:c r="R377" s="11" t="str"/>
      <x:c r="S377" s="10" t="str">
        <x:v>Sanitized HTTP request/response + before/after query</x:v>
      </x:c>
      <x:c r="T377" s="10" t="str">
        <x:v>src/app/api/staff/access/route.ts</x:v>
      </x:c>
      <x:c r="U377" s="10" t="str">
        <x:v>Reconcile tagged fixtures; archive/withdraw only owned test publications. Preserve audit/financial history.</x:v>
      </x:c>
      <x:c r="V377" s="12" t="str">
        <x:f>IF(A377="","",IF(L377="Not run","Pending",IF(OR(L377="Blocked",L377="Not deployed",L377="Not applicable"),IF(OR(K377="",R377=""),"Needs explanation","Recorded"),IF(OR(L377="Pass",L377="Fail"),IF(OR(K377="",M377="",P377=""),"Needs result/evidence/build","Recorded"),"Needs valid status"))))</x:f>
        <x:v>Pending</x:v>
      </x:c>
    </x:row>
    <x:row r="378" ht="52" customHeight="1">
      <x:c r="A378" s="10" t="str">
        <x:v>QA-0374</x:v>
      </x:c>
      <x:c r="B378" s="10" t="str">
        <x:v>T. API contract</x:v>
      </x:c>
      <x:c r="C378" s="10" t="str">
        <x:v>POST boundary: /api/staff/access</x:v>
      </x:c>
      <x:c r="D378" s="10" t="str">
        <x:v>/api/staff/access</x:v>
      </x:c>
      <x:c r="E378" s="10" t="str">
        <x:v>Technical tester</x:v>
      </x:c>
      <x:c r="F378" s="10" t="str">
        <x:v>P0</x:v>
      </x:c>
      <x:c r="G378" s="10" t="str">
        <x:v>Isolated only</x:v>
      </x:c>
      <x:c r="H378" s="10" t="str">
        <x:v>Record deployed build. Use assigned test accounts, synthetic data and approved fixtures/recipients only.</x:v>
      </x:c>
      <x:c r="I378" s="10" t="str">
        <x:v>Using isolated fixtures, replay POST /api/staff/access as anonymous, ordinary member, unrelated staff role and wrong owner as applicable. Test every current supported action separately; record authorization differences.</x:v>
      </x:c>
      <x:c r="J378" s="10" t="str">
        <x:v>Authorization matches action-specific grants/ownership/publication; authorized exceptions remain allowed and all unauthorized reads/writes denied without private leakage.</x:v>
      </x:c>
      <x:c r="K378" s="11" t="str"/>
      <x:c r="L378" s="11" t="str">
        <x:v>Not run</x:v>
      </x:c>
      <x:c r="M378" s="11" t="str"/>
      <x:c r="N378" s="11" t="str"/>
      <x:c r="O378" s="11" t="str"/>
      <x:c r="P378" s="11" t="str"/>
      <x:c r="Q378" s="11" t="str"/>
      <x:c r="R378" s="11" t="str"/>
      <x:c r="S378" s="10" t="str">
        <x:v>Role/request matrix + response + unchanged database</x:v>
      </x:c>
      <x:c r="T378" s="10" t="str">
        <x:v>src/app/api/staff/access/route.ts</x:v>
      </x:c>
      <x:c r="U378" s="10" t="str">
        <x:v>Reconcile tagged fixtures; archive/withdraw only owned test publications. Preserve audit/financial history.</x:v>
      </x:c>
      <x:c r="V378" s="12" t="str">
        <x:f>IF(A378="","",IF(L378="Not run","Pending",IF(OR(L378="Blocked",L378="Not deployed",L378="Not applicable"),IF(OR(K378="",R378=""),"Needs explanation","Recorded"),IF(OR(L378="Pass",L378="Fail"),IF(OR(K378="",M378="",P378=""),"Needs result/evidence/build","Recorded"),"Needs valid status"))))</x:f>
        <x:v>Pending</x:v>
      </x:c>
    </x:row>
    <x:row r="379" ht="66" customHeight="1">
      <x:c r="A379" s="10" t="str">
        <x:v>QA-0375</x:v>
      </x:c>
      <x:c r="B379" s="10" t="str">
        <x:v>T. API contract</x:v>
      </x:c>
      <x:c r="C379" s="10" t="str">
        <x:v>GET /api/staff/attendance</x:v>
      </x:c>
      <x:c r="D379" s="10" t="str">
        <x:v>/api/staff/attendance</x:v>
      </x:c>
      <x:c r="E379" s="10" t="str">
        <x:v>Technical tester</x:v>
      </x:c>
      <x:c r="F379" s="10" t="str">
        <x:v>P1</x:v>
      </x:c>
      <x:c r="G379" s="10" t="str">
        <x:v>Isolated only</x:v>
      </x:c>
      <x:c r="H379" s="10" t="str">
        <x:v>Isolated app/database; providers disabled or QA allowlist; exact request schema and fixture ID from current source/UI.</x:v>
      </x:c>
      <x:c r="I379" s="10" t="str">
        <x:v>Inspect route and delegated service contract for query/body/allowed actions. Capture a valid request from QA UI, replace dynamic IDs with owned fixture IDs, replay GET /api/staff/attendance once in isolated environment. Check status/body/headers and exact database/job effects.</x:v>
      </x:c>
      <x:c r="J379" s="10" t="str">
        <x:v>Valid supported request returns documented result; expected mutations only. Public/token endpoints follow their own policy; no assumption of a universal 200/401 response.</x:v>
      </x:c>
      <x:c r="K379" s="11" t="str"/>
      <x:c r="L379" s="11" t="str">
        <x:v>Not run</x:v>
      </x:c>
      <x:c r="M379" s="11" t="str"/>
      <x:c r="N379" s="11" t="str"/>
      <x:c r="O379" s="11" t="str"/>
      <x:c r="P379" s="11" t="str"/>
      <x:c r="Q379" s="11" t="str"/>
      <x:c r="R379" s="11" t="str"/>
      <x:c r="S379" s="10" t="str">
        <x:v>Sanitized HTTP request/response + before/after query</x:v>
      </x:c>
      <x:c r="T379" s="10" t="str">
        <x:v>src/app/api/staff/attendance/route.ts</x:v>
      </x:c>
      <x:c r="U379" s="10" t="str">
        <x:v>Reconcile tagged fixtures; archive/withdraw only owned test publications. Preserve audit/financial history.</x:v>
      </x:c>
      <x:c r="V379" s="12" t="str">
        <x:f>IF(A379="","",IF(L379="Not run","Pending",IF(OR(L379="Blocked",L379="Not deployed",L379="Not applicable"),IF(OR(K379="",R379=""),"Needs explanation","Recorded"),IF(OR(L379="Pass",L379="Fail"),IF(OR(K379="",M379="",P379=""),"Needs result/evidence/build","Recorded"),"Needs valid status"))))</x:f>
        <x:v>Pending</x:v>
      </x:c>
    </x:row>
    <x:row r="380" ht="52" customHeight="1">
      <x:c r="A380" s="10" t="str">
        <x:v>QA-0376</x:v>
      </x:c>
      <x:c r="B380" s="10" t="str">
        <x:v>T. API contract</x:v>
      </x:c>
      <x:c r="C380" s="10" t="str">
        <x:v>GET boundary: /api/staff/attendance</x:v>
      </x:c>
      <x:c r="D380" s="10" t="str">
        <x:v>/api/staff/attendance</x:v>
      </x:c>
      <x:c r="E380" s="10" t="str">
        <x:v>Technical tester</x:v>
      </x:c>
      <x:c r="F380" s="10" t="str">
        <x:v>P0</x:v>
      </x:c>
      <x:c r="G380" s="10" t="str">
        <x:v>Isolated only</x:v>
      </x:c>
      <x:c r="H380" s="10" t="str">
        <x:v>Record deployed build. Use assigned test accounts, synthetic data and approved fixtures/recipients only.</x:v>
      </x:c>
      <x:c r="I380" s="10" t="str">
        <x:v>Using isolated fixtures, replay GET /api/staff/attendance as anonymous, ordinary member, unrelated staff role and wrong owner as applicable. Test every current supported action separately; record authorization differences.</x:v>
      </x:c>
      <x:c r="J380" s="10" t="str">
        <x:v>Authorization matches action-specific grants/ownership/publication; authorized exceptions remain allowed and all unauthorized reads/writes denied without private leakage.</x:v>
      </x:c>
      <x:c r="K380" s="11" t="str"/>
      <x:c r="L380" s="11" t="str">
        <x:v>Not run</x:v>
      </x:c>
      <x:c r="M380" s="11" t="str"/>
      <x:c r="N380" s="11" t="str"/>
      <x:c r="O380" s="11" t="str"/>
      <x:c r="P380" s="11" t="str"/>
      <x:c r="Q380" s="11" t="str"/>
      <x:c r="R380" s="11" t="str"/>
      <x:c r="S380" s="10" t="str">
        <x:v>Role/request matrix + response + unchanged database</x:v>
      </x:c>
      <x:c r="T380" s="10" t="str">
        <x:v>src/app/api/staff/attendance/route.ts</x:v>
      </x:c>
      <x:c r="U380" s="10" t="str">
        <x:v>Reconcile tagged fixtures; archive/withdraw only owned test publications. Preserve audit/financial history.</x:v>
      </x:c>
      <x:c r="V380" s="12" t="str">
        <x:f>IF(A380="","",IF(L380="Not run","Pending",IF(OR(L380="Blocked",L380="Not deployed",L380="Not applicable"),IF(OR(K380="",R380=""),"Needs explanation","Recorded"),IF(OR(L380="Pass",L380="Fail"),IF(OR(K380="",M380="",P380=""),"Needs result/evidence/build","Recorded"),"Needs valid status"))))</x:f>
        <x:v>Pending</x:v>
      </x:c>
    </x:row>
    <x:row r="381" ht="66" customHeight="1">
      <x:c r="A381" s="10" t="str">
        <x:v>QA-0377</x:v>
      </x:c>
      <x:c r="B381" s="10" t="str">
        <x:v>T. API contract</x:v>
      </x:c>
      <x:c r="C381" s="10" t="str">
        <x:v>POST /api/staff/attendance</x:v>
      </x:c>
      <x:c r="D381" s="10" t="str">
        <x:v>/api/staff/attendance</x:v>
      </x:c>
      <x:c r="E381" s="10" t="str">
        <x:v>Technical tester</x:v>
      </x:c>
      <x:c r="F381" s="10" t="str">
        <x:v>P0</x:v>
      </x:c>
      <x:c r="G381" s="10" t="str">
        <x:v>Isolated only</x:v>
      </x:c>
      <x:c r="H381" s="10" t="str">
        <x:v>Isolated app/database; providers disabled or QA allowlist; exact request schema and fixture ID from current source/UI.</x:v>
      </x:c>
      <x:c r="I381" s="10" t="str">
        <x:v>Inspect route and delegated service contract for query/body/allowed actions. Capture a valid request from QA UI, replace dynamic IDs with owned fixture IDs, replay POST /api/staff/attendance once in isolated environment. Check status/body/headers and exact database/job effects.</x:v>
      </x:c>
      <x:c r="J381" s="10" t="str">
        <x:v>Valid supported request returns documented result; expected mutations only. Public/token endpoints follow their own policy; no assumption of a universal 200/401 response.</x:v>
      </x:c>
      <x:c r="K381" s="11" t="str"/>
      <x:c r="L381" s="11" t="str">
        <x:v>Not run</x:v>
      </x:c>
      <x:c r="M381" s="11" t="str"/>
      <x:c r="N381" s="11" t="str"/>
      <x:c r="O381" s="11" t="str"/>
      <x:c r="P381" s="11" t="str"/>
      <x:c r="Q381" s="11" t="str"/>
      <x:c r="R381" s="11" t="str"/>
      <x:c r="S381" s="10" t="str">
        <x:v>Sanitized HTTP request/response + before/after query</x:v>
      </x:c>
      <x:c r="T381" s="10" t="str">
        <x:v>src/app/api/staff/attendance/route.ts</x:v>
      </x:c>
      <x:c r="U381" s="10" t="str">
        <x:v>Reconcile tagged fixtures; archive/withdraw only owned test publications. Preserve audit/financial history.</x:v>
      </x:c>
      <x:c r="V381" s="12" t="str">
        <x:f>IF(A381="","",IF(L381="Not run","Pending",IF(OR(L381="Blocked",L381="Not deployed",L381="Not applicable"),IF(OR(K381="",R381=""),"Needs explanation","Recorded"),IF(OR(L381="Pass",L381="Fail"),IF(OR(K381="",M381="",P381=""),"Needs result/evidence/build","Recorded"),"Needs valid status"))))</x:f>
        <x:v>Pending</x:v>
      </x:c>
    </x:row>
    <x:row r="382" ht="52" customHeight="1">
      <x:c r="A382" s="10" t="str">
        <x:v>QA-0378</x:v>
      </x:c>
      <x:c r="B382" s="10" t="str">
        <x:v>T. API contract</x:v>
      </x:c>
      <x:c r="C382" s="10" t="str">
        <x:v>POST boundary: /api/staff/attendance</x:v>
      </x:c>
      <x:c r="D382" s="10" t="str">
        <x:v>/api/staff/attendance</x:v>
      </x:c>
      <x:c r="E382" s="10" t="str">
        <x:v>Technical tester</x:v>
      </x:c>
      <x:c r="F382" s="10" t="str">
        <x:v>P0</x:v>
      </x:c>
      <x:c r="G382" s="10" t="str">
        <x:v>Isolated only</x:v>
      </x:c>
      <x:c r="H382" s="10" t="str">
        <x:v>Record deployed build. Use assigned test accounts, synthetic data and approved fixtures/recipients only.</x:v>
      </x:c>
      <x:c r="I382" s="10" t="str">
        <x:v>Using isolated fixtures, replay POST /api/staff/attendance as anonymous, ordinary member, unrelated staff role and wrong owner as applicable. Test every current supported action separately; record authorization differences.</x:v>
      </x:c>
      <x:c r="J382" s="10" t="str">
        <x:v>Authorization matches action-specific grants/ownership/publication; authorized exceptions remain allowed and all unauthorized reads/writes denied without private leakage.</x:v>
      </x:c>
      <x:c r="K382" s="11" t="str"/>
      <x:c r="L382" s="11" t="str">
        <x:v>Not run</x:v>
      </x:c>
      <x:c r="M382" s="11" t="str"/>
      <x:c r="N382" s="11" t="str"/>
      <x:c r="O382" s="11" t="str"/>
      <x:c r="P382" s="11" t="str"/>
      <x:c r="Q382" s="11" t="str"/>
      <x:c r="R382" s="11" t="str"/>
      <x:c r="S382" s="10" t="str">
        <x:v>Role/request matrix + response + unchanged database</x:v>
      </x:c>
      <x:c r="T382" s="10" t="str">
        <x:v>src/app/api/staff/attendance/route.ts</x:v>
      </x:c>
      <x:c r="U382" s="10" t="str">
        <x:v>Reconcile tagged fixtures; archive/withdraw only owned test publications. Preserve audit/financial history.</x:v>
      </x:c>
      <x:c r="V382" s="12" t="str">
        <x:f>IF(A382="","",IF(L382="Not run","Pending",IF(OR(L382="Blocked",L382="Not deployed",L382="Not applicable"),IF(OR(K382="",R382=""),"Needs explanation","Recorded"),IF(OR(L382="Pass",L382="Fail"),IF(OR(K382="",M382="",P382=""),"Needs result/evidence/build","Recorded"),"Needs valid status"))))</x:f>
        <x:v>Pending</x:v>
      </x:c>
    </x:row>
    <x:row r="383" ht="66" customHeight="1">
      <x:c r="A383" s="10" t="str">
        <x:v>QA-0379</x:v>
      </x:c>
      <x:c r="B383" s="10" t="str">
        <x:v>T. API contract</x:v>
      </x:c>
      <x:c r="C383" s="10" t="str">
        <x:v>GET /api/staff/audit</x:v>
      </x:c>
      <x:c r="D383" s="10" t="str">
        <x:v>/api/staff/audit</x:v>
      </x:c>
      <x:c r="E383" s="10" t="str">
        <x:v>Technical tester</x:v>
      </x:c>
      <x:c r="F383" s="10" t="str">
        <x:v>P1</x:v>
      </x:c>
      <x:c r="G383" s="10" t="str">
        <x:v>Isolated only</x:v>
      </x:c>
      <x:c r="H383" s="10" t="str">
        <x:v>Isolated app/database; providers disabled or QA allowlist; exact request schema and fixture ID from current source/UI.</x:v>
      </x:c>
      <x:c r="I383" s="10" t="str">
        <x:v>Inspect route and delegated service contract for query/body/allowed actions. Capture a valid request from QA UI, replace dynamic IDs with owned fixture IDs, replay GET /api/staff/audit once in isolated environment. Check status/body/headers and exact database/job effects.</x:v>
      </x:c>
      <x:c r="J383" s="10" t="str">
        <x:v>Valid supported request returns documented result; expected mutations only. Public/token endpoints follow their own policy; no assumption of a universal 200/401 response.</x:v>
      </x:c>
      <x:c r="K383" s="11" t="str"/>
      <x:c r="L383" s="11" t="str">
        <x:v>Not run</x:v>
      </x:c>
      <x:c r="M383" s="11" t="str"/>
      <x:c r="N383" s="11" t="str"/>
      <x:c r="O383" s="11" t="str"/>
      <x:c r="P383" s="11" t="str"/>
      <x:c r="Q383" s="11" t="str"/>
      <x:c r="R383" s="11" t="str"/>
      <x:c r="S383" s="10" t="str">
        <x:v>Sanitized HTTP request/response + before/after query</x:v>
      </x:c>
      <x:c r="T383" s="10" t="str">
        <x:v>src/app/api/staff/audit/route.ts</x:v>
      </x:c>
      <x:c r="U383" s="10" t="str">
        <x:v>Reconcile tagged fixtures; archive/withdraw only owned test publications. Preserve audit/financial history.</x:v>
      </x:c>
      <x:c r="V383" s="12" t="str">
        <x:f>IF(A383="","",IF(L383="Not run","Pending",IF(OR(L383="Blocked",L383="Not deployed",L383="Not applicable"),IF(OR(K383="",R383=""),"Needs explanation","Recorded"),IF(OR(L383="Pass",L383="Fail"),IF(OR(K383="",M383="",P383=""),"Needs result/evidence/build","Recorded"),"Needs valid status"))))</x:f>
        <x:v>Pending</x:v>
      </x:c>
    </x:row>
    <x:row r="384" ht="52" customHeight="1">
      <x:c r="A384" s="10" t="str">
        <x:v>QA-0380</x:v>
      </x:c>
      <x:c r="B384" s="10" t="str">
        <x:v>T. API contract</x:v>
      </x:c>
      <x:c r="C384" s="10" t="str">
        <x:v>GET boundary: /api/staff/audit</x:v>
      </x:c>
      <x:c r="D384" s="10" t="str">
        <x:v>/api/staff/audit</x:v>
      </x:c>
      <x:c r="E384" s="10" t="str">
        <x:v>Technical tester</x:v>
      </x:c>
      <x:c r="F384" s="10" t="str">
        <x:v>P0</x:v>
      </x:c>
      <x:c r="G384" s="10" t="str">
        <x:v>Isolated only</x:v>
      </x:c>
      <x:c r="H384" s="10" t="str">
        <x:v>Record deployed build. Use assigned test accounts, synthetic data and approved fixtures/recipients only.</x:v>
      </x:c>
      <x:c r="I384" s="10" t="str">
        <x:v>Using isolated fixtures, replay GET /api/staff/audit as anonymous, ordinary member, unrelated staff role and wrong owner as applicable. Test every current supported action separately; record authorization differences.</x:v>
      </x:c>
      <x:c r="J384" s="10" t="str">
        <x:v>Authorization matches action-specific grants/ownership/publication; authorized exceptions remain allowed and all unauthorized reads/writes denied without private leakage.</x:v>
      </x:c>
      <x:c r="K384" s="11" t="str"/>
      <x:c r="L384" s="11" t="str">
        <x:v>Not run</x:v>
      </x:c>
      <x:c r="M384" s="11" t="str"/>
      <x:c r="N384" s="11" t="str"/>
      <x:c r="O384" s="11" t="str"/>
      <x:c r="P384" s="11" t="str"/>
      <x:c r="Q384" s="11" t="str"/>
      <x:c r="R384" s="11" t="str"/>
      <x:c r="S384" s="10" t="str">
        <x:v>Role/request matrix + response + unchanged database</x:v>
      </x:c>
      <x:c r="T384" s="10" t="str">
        <x:v>src/app/api/staff/audit/route.ts</x:v>
      </x:c>
      <x:c r="U384" s="10" t="str">
        <x:v>Reconcile tagged fixtures; archive/withdraw only owned test publications. Preserve audit/financial history.</x:v>
      </x:c>
      <x:c r="V384" s="12" t="str">
        <x:f>IF(A384="","",IF(L384="Not run","Pending",IF(OR(L384="Blocked",L384="Not deployed",L384="Not applicable"),IF(OR(K384="",R384=""),"Needs explanation","Recorded"),IF(OR(L384="Pass",L384="Fail"),IF(OR(K384="",M384="",P384=""),"Needs result/evidence/build","Recorded"),"Needs valid status"))))</x:f>
        <x:v>Pending</x:v>
      </x:c>
    </x:row>
    <x:row r="385" ht="66" customHeight="1">
      <x:c r="A385" s="10" t="str">
        <x:v>QA-0381</x:v>
      </x:c>
      <x:c r="B385" s="10" t="str">
        <x:v>T. API contract</x:v>
      </x:c>
      <x:c r="C385" s="10" t="str">
        <x:v>GET /api/staff/campaigns</x:v>
      </x:c>
      <x:c r="D385" s="10" t="str">
        <x:v>/api/staff/campaigns</x:v>
      </x:c>
      <x:c r="E385" s="10" t="str">
        <x:v>Technical tester</x:v>
      </x:c>
      <x:c r="F385" s="10" t="str">
        <x:v>P1</x:v>
      </x:c>
      <x:c r="G385" s="10" t="str">
        <x:v>Isolated only</x:v>
      </x:c>
      <x:c r="H385" s="10" t="str">
        <x:v>Isolated app/database; providers disabled or QA allowlist; exact request schema and fixture ID from current source/UI.</x:v>
      </x:c>
      <x:c r="I385" s="10" t="str">
        <x:v>Inspect route and delegated service contract for query/body/allowed actions. Capture a valid request from QA UI, replace dynamic IDs with owned fixture IDs, replay GET /api/staff/campaigns once in isolated environment. Check status/body/headers and exact database/job effects.</x:v>
      </x:c>
      <x:c r="J385" s="10" t="str">
        <x:v>Valid supported request returns documented result; expected mutations only. Public/token endpoints follow their own policy; no assumption of a universal 200/401 response.</x:v>
      </x:c>
      <x:c r="K385" s="11" t="str"/>
      <x:c r="L385" s="11" t="str">
        <x:v>Not run</x:v>
      </x:c>
      <x:c r="M385" s="11" t="str"/>
      <x:c r="N385" s="11" t="str"/>
      <x:c r="O385" s="11" t="str"/>
      <x:c r="P385" s="11" t="str"/>
      <x:c r="Q385" s="11" t="str"/>
      <x:c r="R385" s="11" t="str"/>
      <x:c r="S385" s="10" t="str">
        <x:v>Sanitized HTTP request/response + before/after query</x:v>
      </x:c>
      <x:c r="T385" s="10" t="str">
        <x:v>src/app/api/staff/campaigns/route.ts</x:v>
      </x:c>
      <x:c r="U385" s="10" t="str">
        <x:v>Reconcile tagged fixtures; archive/withdraw only owned test publications. Preserve audit/financial history.</x:v>
      </x:c>
      <x:c r="V385" s="12" t="str">
        <x:f>IF(A385="","",IF(L385="Not run","Pending",IF(OR(L385="Blocked",L385="Not deployed",L385="Not applicable"),IF(OR(K385="",R385=""),"Needs explanation","Recorded"),IF(OR(L385="Pass",L385="Fail"),IF(OR(K385="",M385="",P385=""),"Needs result/evidence/build","Recorded"),"Needs valid status"))))</x:f>
        <x:v>Pending</x:v>
      </x:c>
    </x:row>
    <x:row r="386" ht="52" customHeight="1">
      <x:c r="A386" s="10" t="str">
        <x:v>QA-0382</x:v>
      </x:c>
      <x:c r="B386" s="10" t="str">
        <x:v>T. API contract</x:v>
      </x:c>
      <x:c r="C386" s="10" t="str">
        <x:v>GET boundary: /api/staff/campaigns</x:v>
      </x:c>
      <x:c r="D386" s="10" t="str">
        <x:v>/api/staff/campaigns</x:v>
      </x:c>
      <x:c r="E386" s="10" t="str">
        <x:v>Technical tester</x:v>
      </x:c>
      <x:c r="F386" s="10" t="str">
        <x:v>P0</x:v>
      </x:c>
      <x:c r="G386" s="10" t="str">
        <x:v>Isolated only</x:v>
      </x:c>
      <x:c r="H386" s="10" t="str">
        <x:v>Record deployed build. Use assigned test accounts, synthetic data and approved fixtures/recipients only.</x:v>
      </x:c>
      <x:c r="I386" s="10" t="str">
        <x:v>Using isolated fixtures, replay GET /api/staff/campaigns as anonymous, ordinary member, unrelated staff role and wrong owner as applicable. Test every current supported action separately; record authorization differences.</x:v>
      </x:c>
      <x:c r="J386" s="10" t="str">
        <x:v>Authorization matches action-specific grants/ownership/publication; authorized exceptions remain allowed and all unauthorized reads/writes denied without private leakage.</x:v>
      </x:c>
      <x:c r="K386" s="11" t="str"/>
      <x:c r="L386" s="11" t="str">
        <x:v>Not run</x:v>
      </x:c>
      <x:c r="M386" s="11" t="str"/>
      <x:c r="N386" s="11" t="str"/>
      <x:c r="O386" s="11" t="str"/>
      <x:c r="P386" s="11" t="str"/>
      <x:c r="Q386" s="11" t="str"/>
      <x:c r="R386" s="11" t="str"/>
      <x:c r="S386" s="10" t="str">
        <x:v>Role/request matrix + response + unchanged database</x:v>
      </x:c>
      <x:c r="T386" s="10" t="str">
        <x:v>src/app/api/staff/campaigns/route.ts</x:v>
      </x:c>
      <x:c r="U386" s="10" t="str">
        <x:v>Reconcile tagged fixtures; archive/withdraw only owned test publications. Preserve audit/financial history.</x:v>
      </x:c>
      <x:c r="V386" s="12" t="str">
        <x:f>IF(A386="","",IF(L386="Not run","Pending",IF(OR(L386="Blocked",L386="Not deployed",L386="Not applicable"),IF(OR(K386="",R386=""),"Needs explanation","Recorded"),IF(OR(L386="Pass",L386="Fail"),IF(OR(K386="",M386="",P386=""),"Needs result/evidence/build","Recorded"),"Needs valid status"))))</x:f>
        <x:v>Pending</x:v>
      </x:c>
    </x:row>
    <x:row r="387" ht="66" customHeight="1">
      <x:c r="A387" s="10" t="str">
        <x:v>QA-0383</x:v>
      </x:c>
      <x:c r="B387" s="10" t="str">
        <x:v>T. API contract</x:v>
      </x:c>
      <x:c r="C387" s="10" t="str">
        <x:v>POST /api/staff/campaigns</x:v>
      </x:c>
      <x:c r="D387" s="10" t="str">
        <x:v>/api/staff/campaigns</x:v>
      </x:c>
      <x:c r="E387" s="10" t="str">
        <x:v>Technical tester</x:v>
      </x:c>
      <x:c r="F387" s="10" t="str">
        <x:v>P0</x:v>
      </x:c>
      <x:c r="G387" s="10" t="str">
        <x:v>Isolated only</x:v>
      </x:c>
      <x:c r="H387" s="10" t="str">
        <x:v>Isolated app/database; providers disabled or QA allowlist; exact request schema and fixture ID from current source/UI.</x:v>
      </x:c>
      <x:c r="I387" s="10" t="str">
        <x:v>Inspect route and delegated service contract for query/body/allowed actions. Capture a valid request from QA UI, replace dynamic IDs with owned fixture IDs, replay POST /api/staff/campaigns once in isolated environment. Check status/body/headers and exact database/job effects.</x:v>
      </x:c>
      <x:c r="J387" s="10" t="str">
        <x:v>Valid supported request returns documented result; expected mutations only. Public/token endpoints follow their own policy; no assumption of a universal 200/401 response.</x:v>
      </x:c>
      <x:c r="K387" s="11" t="str"/>
      <x:c r="L387" s="11" t="str">
        <x:v>Not run</x:v>
      </x:c>
      <x:c r="M387" s="11" t="str"/>
      <x:c r="N387" s="11" t="str"/>
      <x:c r="O387" s="11" t="str"/>
      <x:c r="P387" s="11" t="str"/>
      <x:c r="Q387" s="11" t="str"/>
      <x:c r="R387" s="11" t="str"/>
      <x:c r="S387" s="10" t="str">
        <x:v>Sanitized HTTP request/response + before/after query</x:v>
      </x:c>
      <x:c r="T387" s="10" t="str">
        <x:v>src/app/api/staff/campaigns/route.ts</x:v>
      </x:c>
      <x:c r="U387" s="10" t="str">
        <x:v>Reconcile tagged fixtures; archive/withdraw only owned test publications. Preserve audit/financial history.</x:v>
      </x:c>
      <x:c r="V387" s="12" t="str">
        <x:f>IF(A387="","",IF(L387="Not run","Pending",IF(OR(L387="Blocked",L387="Not deployed",L387="Not applicable"),IF(OR(K387="",R387=""),"Needs explanation","Recorded"),IF(OR(L387="Pass",L387="Fail"),IF(OR(K387="",M387="",P387=""),"Needs result/evidence/build","Recorded"),"Needs valid status"))))</x:f>
        <x:v>Pending</x:v>
      </x:c>
    </x:row>
    <x:row r="388" ht="52" customHeight="1">
      <x:c r="A388" s="10" t="str">
        <x:v>QA-0384</x:v>
      </x:c>
      <x:c r="B388" s="10" t="str">
        <x:v>T. API contract</x:v>
      </x:c>
      <x:c r="C388" s="10" t="str">
        <x:v>POST boundary: /api/staff/campaigns</x:v>
      </x:c>
      <x:c r="D388" s="10" t="str">
        <x:v>/api/staff/campaigns</x:v>
      </x:c>
      <x:c r="E388" s="10" t="str">
        <x:v>Technical tester</x:v>
      </x:c>
      <x:c r="F388" s="10" t="str">
        <x:v>P0</x:v>
      </x:c>
      <x:c r="G388" s="10" t="str">
        <x:v>Isolated only</x:v>
      </x:c>
      <x:c r="H388" s="10" t="str">
        <x:v>Record deployed build. Use assigned test accounts, synthetic data and approved fixtures/recipients only.</x:v>
      </x:c>
      <x:c r="I388" s="10" t="str">
        <x:v>Using isolated fixtures, replay POST /api/staff/campaigns as anonymous, ordinary member, unrelated staff role and wrong owner as applicable. Test every current supported action separately; record authorization differences.</x:v>
      </x:c>
      <x:c r="J388" s="10" t="str">
        <x:v>Authorization matches action-specific grants/ownership/publication; authorized exceptions remain allowed and all unauthorized reads/writes denied without private leakage.</x:v>
      </x:c>
      <x:c r="K388" s="11" t="str"/>
      <x:c r="L388" s="11" t="str">
        <x:v>Not run</x:v>
      </x:c>
      <x:c r="M388" s="11" t="str"/>
      <x:c r="N388" s="11" t="str"/>
      <x:c r="O388" s="11" t="str"/>
      <x:c r="P388" s="11" t="str"/>
      <x:c r="Q388" s="11" t="str"/>
      <x:c r="R388" s="11" t="str"/>
      <x:c r="S388" s="10" t="str">
        <x:v>Role/request matrix + response + unchanged database</x:v>
      </x:c>
      <x:c r="T388" s="10" t="str">
        <x:v>src/app/api/staff/campaigns/route.ts</x:v>
      </x:c>
      <x:c r="U388" s="10" t="str">
        <x:v>Reconcile tagged fixtures; archive/withdraw only owned test publications. Preserve audit/financial history.</x:v>
      </x:c>
      <x:c r="V388" s="12" t="str">
        <x:f>IF(A388="","",IF(L388="Not run","Pending",IF(OR(L388="Blocked",L388="Not deployed",L388="Not applicable"),IF(OR(K388="",R388=""),"Needs explanation","Recorded"),IF(OR(L388="Pass",L388="Fail"),IF(OR(K388="",M388="",P388=""),"Needs result/evidence/build","Recorded"),"Needs valid status"))))</x:f>
        <x:v>Pending</x:v>
      </x:c>
    </x:row>
    <x:row r="389" ht="66" customHeight="1">
      <x:c r="A389" s="10" t="str">
        <x:v>QA-0385</x:v>
      </x:c>
      <x:c r="B389" s="10" t="str">
        <x:v>T. API contract</x:v>
      </x:c>
      <x:c r="C389" s="10" t="str">
        <x:v>GET /api/staff/communications</x:v>
      </x:c>
      <x:c r="D389" s="10" t="str">
        <x:v>/api/staff/communications</x:v>
      </x:c>
      <x:c r="E389" s="10" t="str">
        <x:v>Technical tester</x:v>
      </x:c>
      <x:c r="F389" s="10" t="str">
        <x:v>P1</x:v>
      </x:c>
      <x:c r="G389" s="10" t="str">
        <x:v>Isolated only</x:v>
      </x:c>
      <x:c r="H389" s="10" t="str">
        <x:v>Isolated app/database; providers disabled or QA allowlist; exact request schema and fixture ID from current source/UI.</x:v>
      </x:c>
      <x:c r="I389" s="10" t="str">
        <x:v>Inspect route and delegated service contract for query/body/allowed actions. Capture a valid request from QA UI, replace dynamic IDs with owned fixture IDs, replay GET /api/staff/communications once in isolated environment. Check status/body/headers and exact database/job effects.</x:v>
      </x:c>
      <x:c r="J389" s="10" t="str">
        <x:v>Valid supported request returns documented result; expected mutations only. Public/token endpoints follow their own policy; no assumption of a universal 200/401 response.</x:v>
      </x:c>
      <x:c r="K389" s="11" t="str"/>
      <x:c r="L389" s="11" t="str">
        <x:v>Not run</x:v>
      </x:c>
      <x:c r="M389" s="11" t="str"/>
      <x:c r="N389" s="11" t="str"/>
      <x:c r="O389" s="11" t="str"/>
      <x:c r="P389" s="11" t="str"/>
      <x:c r="Q389" s="11" t="str"/>
      <x:c r="R389" s="11" t="str"/>
      <x:c r="S389" s="10" t="str">
        <x:v>Sanitized HTTP request/response + before/after query</x:v>
      </x:c>
      <x:c r="T389" s="10" t="str">
        <x:v>src/app/api/staff/communications/route.ts</x:v>
      </x:c>
      <x:c r="U389" s="10" t="str">
        <x:v>Reconcile tagged fixtures; archive/withdraw only owned test publications. Preserve audit/financial history.</x:v>
      </x:c>
      <x:c r="V389" s="12" t="str">
        <x:f>IF(A389="","",IF(L389="Not run","Pending",IF(OR(L389="Blocked",L389="Not deployed",L389="Not applicable"),IF(OR(K389="",R389=""),"Needs explanation","Recorded"),IF(OR(L389="Pass",L389="Fail"),IF(OR(K389="",M389="",P389=""),"Needs result/evidence/build","Recorded"),"Needs valid status"))))</x:f>
        <x:v>Pending</x:v>
      </x:c>
    </x:row>
    <x:row r="390" ht="52" customHeight="1">
      <x:c r="A390" s="10" t="str">
        <x:v>QA-0386</x:v>
      </x:c>
      <x:c r="B390" s="10" t="str">
        <x:v>T. API contract</x:v>
      </x:c>
      <x:c r="C390" s="10" t="str">
        <x:v>GET boundary: /api/staff/communications</x:v>
      </x:c>
      <x:c r="D390" s="10" t="str">
        <x:v>/api/staff/communications</x:v>
      </x:c>
      <x:c r="E390" s="10" t="str">
        <x:v>Technical tester</x:v>
      </x:c>
      <x:c r="F390" s="10" t="str">
        <x:v>P0</x:v>
      </x:c>
      <x:c r="G390" s="10" t="str">
        <x:v>Isolated only</x:v>
      </x:c>
      <x:c r="H390" s="10" t="str">
        <x:v>Record deployed build. Use assigned test accounts, synthetic data and approved fixtures/recipients only.</x:v>
      </x:c>
      <x:c r="I390" s="10" t="str">
        <x:v>Using isolated fixtures, replay GET /api/staff/communications as anonymous, ordinary member, unrelated staff role and wrong owner as applicable. Test every current supported action separately; record authorization differences.</x:v>
      </x:c>
      <x:c r="J390" s="10" t="str">
        <x:v>Authorization matches action-specific grants/ownership/publication; authorized exceptions remain allowed and all unauthorized reads/writes denied without private leakage.</x:v>
      </x:c>
      <x:c r="K390" s="11" t="str"/>
      <x:c r="L390" s="11" t="str">
        <x:v>Not run</x:v>
      </x:c>
      <x:c r="M390" s="11" t="str"/>
      <x:c r="N390" s="11" t="str"/>
      <x:c r="O390" s="11" t="str"/>
      <x:c r="P390" s="11" t="str"/>
      <x:c r="Q390" s="11" t="str"/>
      <x:c r="R390" s="11" t="str"/>
      <x:c r="S390" s="10" t="str">
        <x:v>Role/request matrix + response + unchanged database</x:v>
      </x:c>
      <x:c r="T390" s="10" t="str">
        <x:v>src/app/api/staff/communications/route.ts</x:v>
      </x:c>
      <x:c r="U390" s="10" t="str">
        <x:v>Reconcile tagged fixtures; archive/withdraw only owned test publications. Preserve audit/financial history.</x:v>
      </x:c>
      <x:c r="V390" s="12" t="str">
        <x:f>IF(A390="","",IF(L390="Not run","Pending",IF(OR(L390="Blocked",L390="Not deployed",L390="Not applicable"),IF(OR(K390="",R390=""),"Needs explanation","Recorded"),IF(OR(L390="Pass",L390="Fail"),IF(OR(K390="",M390="",P390=""),"Needs result/evidence/build","Recorded"),"Needs valid status"))))</x:f>
        <x:v>Pending</x:v>
      </x:c>
    </x:row>
    <x:row r="391" ht="66" customHeight="1">
      <x:c r="A391" s="10" t="str">
        <x:v>QA-0387</x:v>
      </x:c>
      <x:c r="B391" s="10" t="str">
        <x:v>T. API contract</x:v>
      </x:c>
      <x:c r="C391" s="10" t="str">
        <x:v>POST /api/staff/communications</x:v>
      </x:c>
      <x:c r="D391" s="10" t="str">
        <x:v>/api/staff/communications</x:v>
      </x:c>
      <x:c r="E391" s="10" t="str">
        <x:v>Technical tester</x:v>
      </x:c>
      <x:c r="F391" s="10" t="str">
        <x:v>P0</x:v>
      </x:c>
      <x:c r="G391" s="10" t="str">
        <x:v>Isolated only</x:v>
      </x:c>
      <x:c r="H391" s="10" t="str">
        <x:v>Isolated app/database; providers disabled or QA allowlist; exact request schema and fixture ID from current source/UI.</x:v>
      </x:c>
      <x:c r="I391" s="10" t="str">
        <x:v>Inspect route and delegated service contract for query/body/allowed actions. Capture a valid request from QA UI, replace dynamic IDs with owned fixture IDs, replay POST /api/staff/communications once in isolated environment. Check status/body/headers and exact database/job effects.</x:v>
      </x:c>
      <x:c r="J391" s="10" t="str">
        <x:v>Valid supported request returns documented result; expected mutations only. Public/token endpoints follow their own policy; no assumption of a universal 200/401 response.</x:v>
      </x:c>
      <x:c r="K391" s="11" t="str"/>
      <x:c r="L391" s="11" t="str">
        <x:v>Not run</x:v>
      </x:c>
      <x:c r="M391" s="11" t="str"/>
      <x:c r="N391" s="11" t="str"/>
      <x:c r="O391" s="11" t="str"/>
      <x:c r="P391" s="11" t="str"/>
      <x:c r="Q391" s="11" t="str"/>
      <x:c r="R391" s="11" t="str"/>
      <x:c r="S391" s="10" t="str">
        <x:v>Sanitized HTTP request/response + before/after query</x:v>
      </x:c>
      <x:c r="T391" s="10" t="str">
        <x:v>src/app/api/staff/communications/route.ts</x:v>
      </x:c>
      <x:c r="U391" s="10" t="str">
        <x:v>Reconcile tagged fixtures; archive/withdraw only owned test publications. Preserve audit/financial history.</x:v>
      </x:c>
      <x:c r="V391" s="12" t="str">
        <x:f>IF(A391="","",IF(L391="Not run","Pending",IF(OR(L391="Blocked",L391="Not deployed",L391="Not applicable"),IF(OR(K391="",R391=""),"Needs explanation","Recorded"),IF(OR(L391="Pass",L391="Fail"),IF(OR(K391="",M391="",P391=""),"Needs result/evidence/build","Recorded"),"Needs valid status"))))</x:f>
        <x:v>Pending</x:v>
      </x:c>
    </x:row>
    <x:row r="392" ht="52" customHeight="1">
      <x:c r="A392" s="10" t="str">
        <x:v>QA-0388</x:v>
      </x:c>
      <x:c r="B392" s="10" t="str">
        <x:v>T. API contract</x:v>
      </x:c>
      <x:c r="C392" s="10" t="str">
        <x:v>POST boundary: /api/staff/communications</x:v>
      </x:c>
      <x:c r="D392" s="10" t="str">
        <x:v>/api/staff/communications</x:v>
      </x:c>
      <x:c r="E392" s="10" t="str">
        <x:v>Technical tester</x:v>
      </x:c>
      <x:c r="F392" s="10" t="str">
        <x:v>P0</x:v>
      </x:c>
      <x:c r="G392" s="10" t="str">
        <x:v>Isolated only</x:v>
      </x:c>
      <x:c r="H392" s="10" t="str">
        <x:v>Record deployed build. Use assigned test accounts, synthetic data and approved fixtures/recipients only.</x:v>
      </x:c>
      <x:c r="I392" s="10" t="str">
        <x:v>Using isolated fixtures, replay POST /api/staff/communications as anonymous, ordinary member, unrelated staff role and wrong owner as applicable. Test every current supported action separately; record authorization differences.</x:v>
      </x:c>
      <x:c r="J392" s="10" t="str">
        <x:v>Authorization matches action-specific grants/ownership/publication; authorized exceptions remain allowed and all unauthorized reads/writes denied without private leakage.</x:v>
      </x:c>
      <x:c r="K392" s="11" t="str"/>
      <x:c r="L392" s="11" t="str">
        <x:v>Not run</x:v>
      </x:c>
      <x:c r="M392" s="11" t="str"/>
      <x:c r="N392" s="11" t="str"/>
      <x:c r="O392" s="11" t="str"/>
      <x:c r="P392" s="11" t="str"/>
      <x:c r="Q392" s="11" t="str"/>
      <x:c r="R392" s="11" t="str"/>
      <x:c r="S392" s="10" t="str">
        <x:v>Role/request matrix + response + unchanged database</x:v>
      </x:c>
      <x:c r="T392" s="10" t="str">
        <x:v>src/app/api/staff/communications/route.ts</x:v>
      </x:c>
      <x:c r="U392" s="10" t="str">
        <x:v>Reconcile tagged fixtures; archive/withdraw only owned test publications. Preserve audit/financial history.</x:v>
      </x:c>
      <x:c r="V392" s="12" t="str">
        <x:f>IF(A392="","",IF(L392="Not run","Pending",IF(OR(L392="Blocked",L392="Not deployed",L392="Not applicable"),IF(OR(K392="",R392=""),"Needs explanation","Recorded"),IF(OR(L392="Pass",L392="Fail"),IF(OR(K392="",M392="",P392=""),"Needs result/evidence/build","Recorded"),"Needs valid status"))))</x:f>
        <x:v>Pending</x:v>
      </x:c>
    </x:row>
    <x:row r="393" ht="66" customHeight="1">
      <x:c r="A393" s="10" t="str">
        <x:v>QA-0389</x:v>
      </x:c>
      <x:c r="B393" s="10" t="str">
        <x:v>T. API contract</x:v>
      </x:c>
      <x:c r="C393" s="10" t="str">
        <x:v>GET /api/staff/content/preview</x:v>
      </x:c>
      <x:c r="D393" s="10" t="str">
        <x:v>/api/staff/content/preview</x:v>
      </x:c>
      <x:c r="E393" s="10" t="str">
        <x:v>Technical tester</x:v>
      </x:c>
      <x:c r="F393" s="10" t="str">
        <x:v>P1</x:v>
      </x:c>
      <x:c r="G393" s="10" t="str">
        <x:v>Isolated only</x:v>
      </x:c>
      <x:c r="H393" s="10" t="str">
        <x:v>Isolated app/database; providers disabled or QA allowlist; exact request schema and fixture ID from current source/UI.</x:v>
      </x:c>
      <x:c r="I393" s="10" t="str">
        <x:v>Inspect route and delegated service contract for query/body/allowed actions. Capture a valid request from QA UI, replace dynamic IDs with owned fixture IDs, replay GET /api/staff/content/preview once in isolated environment. Check status/body/headers and exact database/job effects.</x:v>
      </x:c>
      <x:c r="J393" s="10" t="str">
        <x:v>Valid supported request returns documented result; expected mutations only. Public/token endpoints follow their own policy; no assumption of a universal 200/401 response.</x:v>
      </x:c>
      <x:c r="K393" s="11" t="str"/>
      <x:c r="L393" s="11" t="str">
        <x:v>Not run</x:v>
      </x:c>
      <x:c r="M393" s="11" t="str"/>
      <x:c r="N393" s="11" t="str"/>
      <x:c r="O393" s="11" t="str"/>
      <x:c r="P393" s="11" t="str"/>
      <x:c r="Q393" s="11" t="str"/>
      <x:c r="R393" s="11" t="str"/>
      <x:c r="S393" s="10" t="str">
        <x:v>Sanitized HTTP request/response + before/after query</x:v>
      </x:c>
      <x:c r="T393" s="10" t="str">
        <x:v>src/app/api/staff/content/preview/route.ts</x:v>
      </x:c>
      <x:c r="U393" s="10" t="str">
        <x:v>Reconcile tagged fixtures; archive/withdraw only owned test publications. Preserve audit/financial history.</x:v>
      </x:c>
      <x:c r="V393" s="12" t="str">
        <x:f>IF(A393="","",IF(L393="Not run","Pending",IF(OR(L393="Blocked",L393="Not deployed",L393="Not applicable"),IF(OR(K393="",R393=""),"Needs explanation","Recorded"),IF(OR(L393="Pass",L393="Fail"),IF(OR(K393="",M393="",P393=""),"Needs result/evidence/build","Recorded"),"Needs valid status"))))</x:f>
        <x:v>Pending</x:v>
      </x:c>
    </x:row>
    <x:row r="394" ht="52" customHeight="1">
      <x:c r="A394" s="10" t="str">
        <x:v>QA-0390</x:v>
      </x:c>
      <x:c r="B394" s="10" t="str">
        <x:v>T. API contract</x:v>
      </x:c>
      <x:c r="C394" s="10" t="str">
        <x:v>GET boundary: /api/staff/content/preview</x:v>
      </x:c>
      <x:c r="D394" s="10" t="str">
        <x:v>/api/staff/content/preview</x:v>
      </x:c>
      <x:c r="E394" s="10" t="str">
        <x:v>Technical tester</x:v>
      </x:c>
      <x:c r="F394" s="10" t="str">
        <x:v>P0</x:v>
      </x:c>
      <x:c r="G394" s="10" t="str">
        <x:v>Isolated only</x:v>
      </x:c>
      <x:c r="H394" s="10" t="str">
        <x:v>Record deployed build. Use assigned test accounts, synthetic data and approved fixtures/recipients only.</x:v>
      </x:c>
      <x:c r="I394" s="10" t="str">
        <x:v>Using isolated fixtures, replay GET /api/staff/content/preview as anonymous, ordinary member, unrelated staff role and wrong owner as applicable. Test every current supported action separately; record authorization differences.</x:v>
      </x:c>
      <x:c r="J394" s="10" t="str">
        <x:v>Authorization matches action-specific grants/ownership/publication; authorized exceptions remain allowed and all unauthorized reads/writes denied without private leakage.</x:v>
      </x:c>
      <x:c r="K394" s="11" t="str"/>
      <x:c r="L394" s="11" t="str">
        <x:v>Not run</x:v>
      </x:c>
      <x:c r="M394" s="11" t="str"/>
      <x:c r="N394" s="11" t="str"/>
      <x:c r="O394" s="11" t="str"/>
      <x:c r="P394" s="11" t="str"/>
      <x:c r="Q394" s="11" t="str"/>
      <x:c r="R394" s="11" t="str"/>
      <x:c r="S394" s="10" t="str">
        <x:v>Role/request matrix + response + unchanged database</x:v>
      </x:c>
      <x:c r="T394" s="10" t="str">
        <x:v>src/app/api/staff/content/preview/route.ts</x:v>
      </x:c>
      <x:c r="U394" s="10" t="str">
        <x:v>Reconcile tagged fixtures; archive/withdraw only owned test publications. Preserve audit/financial history.</x:v>
      </x:c>
      <x:c r="V394" s="12" t="str">
        <x:f>IF(A394="","",IF(L394="Not run","Pending",IF(OR(L394="Blocked",L394="Not deployed",L394="Not applicable"),IF(OR(K394="",R394=""),"Needs explanation","Recorded"),IF(OR(L394="Pass",L394="Fail"),IF(OR(K394="",M394="",P394=""),"Needs result/evidence/build","Recorded"),"Needs valid status"))))</x:f>
        <x:v>Pending</x:v>
      </x:c>
    </x:row>
    <x:row r="395" ht="66" customHeight="1">
      <x:c r="A395" s="10" t="str">
        <x:v>QA-0391</x:v>
      </x:c>
      <x:c r="B395" s="10" t="str">
        <x:v>T. API contract</x:v>
      </x:c>
      <x:c r="C395" s="10" t="str">
        <x:v>GET /api/staff/content</x:v>
      </x:c>
      <x:c r="D395" s="10" t="str">
        <x:v>/api/staff/content</x:v>
      </x:c>
      <x:c r="E395" s="10" t="str">
        <x:v>Technical tester</x:v>
      </x:c>
      <x:c r="F395" s="10" t="str">
        <x:v>P1</x:v>
      </x:c>
      <x:c r="G395" s="10" t="str">
        <x:v>Isolated only</x:v>
      </x:c>
      <x:c r="H395" s="10" t="str">
        <x:v>Isolated app/database; providers disabled or QA allowlist; exact request schema and fixture ID from current source/UI.</x:v>
      </x:c>
      <x:c r="I395" s="10" t="str">
        <x:v>Inspect route and delegated service contract for query/body/allowed actions. Capture a valid request from QA UI, replace dynamic IDs with owned fixture IDs, replay GET /api/staff/content once in isolated environment. Check status/body/headers and exact database/job effects.</x:v>
      </x:c>
      <x:c r="J395" s="10" t="str">
        <x:v>Valid supported request returns documented result; expected mutations only. Public/token endpoints follow their own policy; no assumption of a universal 200/401 response.</x:v>
      </x:c>
      <x:c r="K395" s="11" t="str"/>
      <x:c r="L395" s="11" t="str">
        <x:v>Not run</x:v>
      </x:c>
      <x:c r="M395" s="11" t="str"/>
      <x:c r="N395" s="11" t="str"/>
      <x:c r="O395" s="11" t="str"/>
      <x:c r="P395" s="11" t="str"/>
      <x:c r="Q395" s="11" t="str"/>
      <x:c r="R395" s="11" t="str"/>
      <x:c r="S395" s="10" t="str">
        <x:v>Sanitized HTTP request/response + before/after query</x:v>
      </x:c>
      <x:c r="T395" s="10" t="str">
        <x:v>src/app/api/staff/content/route.ts</x:v>
      </x:c>
      <x:c r="U395" s="10" t="str">
        <x:v>Reconcile tagged fixtures; archive/withdraw only owned test publications. Preserve audit/financial history.</x:v>
      </x:c>
      <x:c r="V395" s="12" t="str">
        <x:f>IF(A395="","",IF(L395="Not run","Pending",IF(OR(L395="Blocked",L395="Not deployed",L395="Not applicable"),IF(OR(K395="",R395=""),"Needs explanation","Recorded"),IF(OR(L395="Pass",L395="Fail"),IF(OR(K395="",M395="",P395=""),"Needs result/evidence/build","Recorded"),"Needs valid status"))))</x:f>
        <x:v>Pending</x:v>
      </x:c>
    </x:row>
    <x:row r="396" ht="52" customHeight="1">
      <x:c r="A396" s="10" t="str">
        <x:v>QA-0392</x:v>
      </x:c>
      <x:c r="B396" s="10" t="str">
        <x:v>T. API contract</x:v>
      </x:c>
      <x:c r="C396" s="10" t="str">
        <x:v>GET boundary: /api/staff/content</x:v>
      </x:c>
      <x:c r="D396" s="10" t="str">
        <x:v>/api/staff/content</x:v>
      </x:c>
      <x:c r="E396" s="10" t="str">
        <x:v>Technical tester</x:v>
      </x:c>
      <x:c r="F396" s="10" t="str">
        <x:v>P0</x:v>
      </x:c>
      <x:c r="G396" s="10" t="str">
        <x:v>Isolated only</x:v>
      </x:c>
      <x:c r="H396" s="10" t="str">
        <x:v>Record deployed build. Use assigned test accounts, synthetic data and approved fixtures/recipients only.</x:v>
      </x:c>
      <x:c r="I396" s="10" t="str">
        <x:v>Using isolated fixtures, replay GET /api/staff/content as anonymous, ordinary member, unrelated staff role and wrong owner as applicable. Test every current supported action separately; record authorization differences.</x:v>
      </x:c>
      <x:c r="J396" s="10" t="str">
        <x:v>Authorization matches action-specific grants/ownership/publication; authorized exceptions remain allowed and all unauthorized reads/writes denied without private leakage.</x:v>
      </x:c>
      <x:c r="K396" s="11" t="str"/>
      <x:c r="L396" s="11" t="str">
        <x:v>Not run</x:v>
      </x:c>
      <x:c r="M396" s="11" t="str"/>
      <x:c r="N396" s="11" t="str"/>
      <x:c r="O396" s="11" t="str"/>
      <x:c r="P396" s="11" t="str"/>
      <x:c r="Q396" s="11" t="str"/>
      <x:c r="R396" s="11" t="str"/>
      <x:c r="S396" s="10" t="str">
        <x:v>Role/request matrix + response + unchanged database</x:v>
      </x:c>
      <x:c r="T396" s="10" t="str">
        <x:v>src/app/api/staff/content/route.ts</x:v>
      </x:c>
      <x:c r="U396" s="10" t="str">
        <x:v>Reconcile tagged fixtures; archive/withdraw only owned test publications. Preserve audit/financial history.</x:v>
      </x:c>
      <x:c r="V396" s="12" t="str">
        <x:f>IF(A396="","",IF(L396="Not run","Pending",IF(OR(L396="Blocked",L396="Not deployed",L396="Not applicable"),IF(OR(K396="",R396=""),"Needs explanation","Recorded"),IF(OR(L396="Pass",L396="Fail"),IF(OR(K396="",M396="",P396=""),"Needs result/evidence/build","Recorded"),"Needs valid status"))))</x:f>
        <x:v>Pending</x:v>
      </x:c>
    </x:row>
    <x:row r="397" ht="66" customHeight="1">
      <x:c r="A397" s="10" t="str">
        <x:v>QA-0393</x:v>
      </x:c>
      <x:c r="B397" s="10" t="str">
        <x:v>T. API contract</x:v>
      </x:c>
      <x:c r="C397" s="10" t="str">
        <x:v>POST /api/staff/content</x:v>
      </x:c>
      <x:c r="D397" s="10" t="str">
        <x:v>/api/staff/content</x:v>
      </x:c>
      <x:c r="E397" s="10" t="str">
        <x:v>Technical tester</x:v>
      </x:c>
      <x:c r="F397" s="10" t="str">
        <x:v>P0</x:v>
      </x:c>
      <x:c r="G397" s="10" t="str">
        <x:v>Isolated only</x:v>
      </x:c>
      <x:c r="H397" s="10" t="str">
        <x:v>Isolated app/database; providers disabled or QA allowlist; exact request schema and fixture ID from current source/UI.</x:v>
      </x:c>
      <x:c r="I397" s="10" t="str">
        <x:v>Inspect route and delegated service contract for query/body/allowed actions. Capture a valid request from QA UI, replace dynamic IDs with owned fixture IDs, replay POST /api/staff/content once in isolated environment. Check status/body/headers and exact database/job effects.</x:v>
      </x:c>
      <x:c r="J397" s="10" t="str">
        <x:v>Valid supported request returns documented result; expected mutations only. Public/token endpoints follow their own policy; no assumption of a universal 200/401 response.</x:v>
      </x:c>
      <x:c r="K397" s="11" t="str"/>
      <x:c r="L397" s="11" t="str">
        <x:v>Not run</x:v>
      </x:c>
      <x:c r="M397" s="11" t="str"/>
      <x:c r="N397" s="11" t="str"/>
      <x:c r="O397" s="11" t="str"/>
      <x:c r="P397" s="11" t="str"/>
      <x:c r="Q397" s="11" t="str"/>
      <x:c r="R397" s="11" t="str"/>
      <x:c r="S397" s="10" t="str">
        <x:v>Sanitized HTTP request/response + before/after query</x:v>
      </x:c>
      <x:c r="T397" s="10" t="str">
        <x:v>src/app/api/staff/content/route.ts</x:v>
      </x:c>
      <x:c r="U397" s="10" t="str">
        <x:v>Reconcile tagged fixtures; archive/withdraw only owned test publications. Preserve audit/financial history.</x:v>
      </x:c>
      <x:c r="V397" s="12" t="str">
        <x:f>IF(A397="","",IF(L397="Not run","Pending",IF(OR(L397="Blocked",L397="Not deployed",L397="Not applicable"),IF(OR(K397="",R397=""),"Needs explanation","Recorded"),IF(OR(L397="Pass",L397="Fail"),IF(OR(K397="",M397="",P397=""),"Needs result/evidence/build","Recorded"),"Needs valid status"))))</x:f>
        <x:v>Pending</x:v>
      </x:c>
    </x:row>
    <x:row r="398" ht="52" customHeight="1">
      <x:c r="A398" s="10" t="str">
        <x:v>QA-0394</x:v>
      </x:c>
      <x:c r="B398" s="10" t="str">
        <x:v>T. API contract</x:v>
      </x:c>
      <x:c r="C398" s="10" t="str">
        <x:v>POST boundary: /api/staff/content</x:v>
      </x:c>
      <x:c r="D398" s="10" t="str">
        <x:v>/api/staff/content</x:v>
      </x:c>
      <x:c r="E398" s="10" t="str">
        <x:v>Technical tester</x:v>
      </x:c>
      <x:c r="F398" s="10" t="str">
        <x:v>P0</x:v>
      </x:c>
      <x:c r="G398" s="10" t="str">
        <x:v>Isolated only</x:v>
      </x:c>
      <x:c r="H398" s="10" t="str">
        <x:v>Record deployed build. Use assigned test accounts, synthetic data and approved fixtures/recipients only.</x:v>
      </x:c>
      <x:c r="I398" s="10" t="str">
        <x:v>Using isolated fixtures, replay POST /api/staff/content as anonymous, ordinary member, unrelated staff role and wrong owner as applicable. Test every current supported action separately; record authorization differences.</x:v>
      </x:c>
      <x:c r="J398" s="10" t="str">
        <x:v>Authorization matches action-specific grants/ownership/publication; authorized exceptions remain allowed and all unauthorized reads/writes denied without private leakage.</x:v>
      </x:c>
      <x:c r="K398" s="11" t="str"/>
      <x:c r="L398" s="11" t="str">
        <x:v>Not run</x:v>
      </x:c>
      <x:c r="M398" s="11" t="str"/>
      <x:c r="N398" s="11" t="str"/>
      <x:c r="O398" s="11" t="str"/>
      <x:c r="P398" s="11" t="str"/>
      <x:c r="Q398" s="11" t="str"/>
      <x:c r="R398" s="11" t="str"/>
      <x:c r="S398" s="10" t="str">
        <x:v>Role/request matrix + response + unchanged database</x:v>
      </x:c>
      <x:c r="T398" s="10" t="str">
        <x:v>src/app/api/staff/content/route.ts</x:v>
      </x:c>
      <x:c r="U398" s="10" t="str">
        <x:v>Reconcile tagged fixtures; archive/withdraw only owned test publications. Preserve audit/financial history.</x:v>
      </x:c>
      <x:c r="V398" s="12" t="str">
        <x:f>IF(A398="","",IF(L398="Not run","Pending",IF(OR(L398="Blocked",L398="Not deployed",L398="Not applicable"),IF(OR(K398="",R398=""),"Needs explanation","Recorded"),IF(OR(L398="Pass",L398="Fail"),IF(OR(K398="",M398="",P398=""),"Needs result/evidence/build","Recorded"),"Needs valid status"))))</x:f>
        <x:v>Pending</x:v>
      </x:c>
    </x:row>
    <x:row r="399" ht="66" customHeight="1">
      <x:c r="A399" s="10" t="str">
        <x:v>QA-0395</x:v>
      </x:c>
      <x:c r="B399" s="10" t="str">
        <x:v>T. API contract</x:v>
      </x:c>
      <x:c r="C399" s="10" t="str">
        <x:v>GET /api/staff/crm</x:v>
      </x:c>
      <x:c r="D399" s="10" t="str">
        <x:v>/api/staff/crm</x:v>
      </x:c>
      <x:c r="E399" s="10" t="str">
        <x:v>Technical tester</x:v>
      </x:c>
      <x:c r="F399" s="10" t="str">
        <x:v>P1</x:v>
      </x:c>
      <x:c r="G399" s="10" t="str">
        <x:v>Isolated only</x:v>
      </x:c>
      <x:c r="H399" s="10" t="str">
        <x:v>Isolated app/database; providers disabled or QA allowlist; exact request schema and fixture ID from current source/UI.</x:v>
      </x:c>
      <x:c r="I399" s="10" t="str">
        <x:v>Inspect route and delegated service contract for query/body/allowed actions. Capture a valid request from QA UI, replace dynamic IDs with owned fixture IDs, replay GET /api/staff/crm once in isolated environment. Check status/body/headers and exact database/job effects.</x:v>
      </x:c>
      <x:c r="J399" s="10" t="str">
        <x:v>Valid supported request returns documented result; expected mutations only. Public/token endpoints follow their own policy; no assumption of a universal 200/401 response.</x:v>
      </x:c>
      <x:c r="K399" s="11" t="str"/>
      <x:c r="L399" s="11" t="str">
        <x:v>Not run</x:v>
      </x:c>
      <x:c r="M399" s="11" t="str"/>
      <x:c r="N399" s="11" t="str"/>
      <x:c r="O399" s="11" t="str"/>
      <x:c r="P399" s="11" t="str"/>
      <x:c r="Q399" s="11" t="str"/>
      <x:c r="R399" s="11" t="str"/>
      <x:c r="S399" s="10" t="str">
        <x:v>Sanitized HTTP request/response + before/after query</x:v>
      </x:c>
      <x:c r="T399" s="10" t="str">
        <x:v>src/app/api/staff/crm/route.ts</x:v>
      </x:c>
      <x:c r="U399" s="10" t="str">
        <x:v>Reconcile tagged fixtures; archive/withdraw only owned test publications. Preserve audit/financial history.</x:v>
      </x:c>
      <x:c r="V399" s="12" t="str">
        <x:f>IF(A399="","",IF(L399="Not run","Pending",IF(OR(L399="Blocked",L399="Not deployed",L399="Not applicable"),IF(OR(K399="",R399=""),"Needs explanation","Recorded"),IF(OR(L399="Pass",L399="Fail"),IF(OR(K399="",M399="",P399=""),"Needs result/evidence/build","Recorded"),"Needs valid status"))))</x:f>
        <x:v>Pending</x:v>
      </x:c>
    </x:row>
    <x:row r="400" ht="52" customHeight="1">
      <x:c r="A400" s="10" t="str">
        <x:v>QA-0396</x:v>
      </x:c>
      <x:c r="B400" s="10" t="str">
        <x:v>T. API contract</x:v>
      </x:c>
      <x:c r="C400" s="10" t="str">
        <x:v>GET boundary: /api/staff/crm</x:v>
      </x:c>
      <x:c r="D400" s="10" t="str">
        <x:v>/api/staff/crm</x:v>
      </x:c>
      <x:c r="E400" s="10" t="str">
        <x:v>Technical tester</x:v>
      </x:c>
      <x:c r="F400" s="10" t="str">
        <x:v>P0</x:v>
      </x:c>
      <x:c r="G400" s="10" t="str">
        <x:v>Isolated only</x:v>
      </x:c>
      <x:c r="H400" s="10" t="str">
        <x:v>Record deployed build. Use assigned test accounts, synthetic data and approved fixtures/recipients only.</x:v>
      </x:c>
      <x:c r="I400" s="10" t="str">
        <x:v>Using isolated fixtures, replay GET /api/staff/crm as anonymous, ordinary member, unrelated staff role and wrong owner as applicable. Test every current supported action separately; record authorization differences.</x:v>
      </x:c>
      <x:c r="J400" s="10" t="str">
        <x:v>Authorization matches action-specific grants/ownership/publication; authorized exceptions remain allowed and all unauthorized reads/writes denied without private leakage.</x:v>
      </x:c>
      <x:c r="K400" s="11" t="str"/>
      <x:c r="L400" s="11" t="str">
        <x:v>Not run</x:v>
      </x:c>
      <x:c r="M400" s="11" t="str"/>
      <x:c r="N400" s="11" t="str"/>
      <x:c r="O400" s="11" t="str"/>
      <x:c r="P400" s="11" t="str"/>
      <x:c r="Q400" s="11" t="str"/>
      <x:c r="R400" s="11" t="str"/>
      <x:c r="S400" s="10" t="str">
        <x:v>Role/request matrix + response + unchanged database</x:v>
      </x:c>
      <x:c r="T400" s="10" t="str">
        <x:v>src/app/api/staff/crm/route.ts</x:v>
      </x:c>
      <x:c r="U400" s="10" t="str">
        <x:v>Reconcile tagged fixtures; archive/withdraw only owned test publications. Preserve audit/financial history.</x:v>
      </x:c>
      <x:c r="V400" s="12" t="str">
        <x:f>IF(A400="","",IF(L400="Not run","Pending",IF(OR(L400="Blocked",L400="Not deployed",L400="Not applicable"),IF(OR(K400="",R400=""),"Needs explanation","Recorded"),IF(OR(L400="Pass",L400="Fail"),IF(OR(K400="",M400="",P400=""),"Needs result/evidence/build","Recorded"),"Needs valid status"))))</x:f>
        <x:v>Pending</x:v>
      </x:c>
    </x:row>
    <x:row r="401" ht="66" customHeight="1">
      <x:c r="A401" s="10" t="str">
        <x:v>QA-0397</x:v>
      </x:c>
      <x:c r="B401" s="10" t="str">
        <x:v>T. API contract</x:v>
      </x:c>
      <x:c r="C401" s="10" t="str">
        <x:v>POST /api/staff/crm</x:v>
      </x:c>
      <x:c r="D401" s="10" t="str">
        <x:v>/api/staff/crm</x:v>
      </x:c>
      <x:c r="E401" s="10" t="str">
        <x:v>Technical tester</x:v>
      </x:c>
      <x:c r="F401" s="10" t="str">
        <x:v>P0</x:v>
      </x:c>
      <x:c r="G401" s="10" t="str">
        <x:v>Isolated only</x:v>
      </x:c>
      <x:c r="H401" s="10" t="str">
        <x:v>Isolated app/database; providers disabled or QA allowlist; exact request schema and fixture ID from current source/UI.</x:v>
      </x:c>
      <x:c r="I401" s="10" t="str">
        <x:v>Inspect route and delegated service contract for query/body/allowed actions. Capture a valid request from QA UI, replace dynamic IDs with owned fixture IDs, replay POST /api/staff/crm once in isolated environment. Check status/body/headers and exact database/job effects.</x:v>
      </x:c>
      <x:c r="J401" s="10" t="str">
        <x:v>Valid supported request returns documented result; expected mutations only. Public/token endpoints follow their own policy; no assumption of a universal 200/401 response.</x:v>
      </x:c>
      <x:c r="K401" s="11" t="str"/>
      <x:c r="L401" s="11" t="str">
        <x:v>Not run</x:v>
      </x:c>
      <x:c r="M401" s="11" t="str"/>
      <x:c r="N401" s="11" t="str"/>
      <x:c r="O401" s="11" t="str"/>
      <x:c r="P401" s="11" t="str"/>
      <x:c r="Q401" s="11" t="str"/>
      <x:c r="R401" s="11" t="str"/>
      <x:c r="S401" s="10" t="str">
        <x:v>Sanitized HTTP request/response + before/after query</x:v>
      </x:c>
      <x:c r="T401" s="10" t="str">
        <x:v>src/app/api/staff/crm/route.ts</x:v>
      </x:c>
      <x:c r="U401" s="10" t="str">
        <x:v>Reconcile tagged fixtures; archive/withdraw only owned test publications. Preserve audit/financial history.</x:v>
      </x:c>
      <x:c r="V401" s="12" t="str">
        <x:f>IF(A401="","",IF(L401="Not run","Pending",IF(OR(L401="Blocked",L401="Not deployed",L401="Not applicable"),IF(OR(K401="",R401=""),"Needs explanation","Recorded"),IF(OR(L401="Pass",L401="Fail"),IF(OR(K401="",M401="",P401=""),"Needs result/evidence/build","Recorded"),"Needs valid status"))))</x:f>
        <x:v>Pending</x:v>
      </x:c>
    </x:row>
    <x:row r="402" ht="52" customHeight="1">
      <x:c r="A402" s="10" t="str">
        <x:v>QA-0398</x:v>
      </x:c>
      <x:c r="B402" s="10" t="str">
        <x:v>T. API contract</x:v>
      </x:c>
      <x:c r="C402" s="10" t="str">
        <x:v>POST boundary: /api/staff/crm</x:v>
      </x:c>
      <x:c r="D402" s="10" t="str">
        <x:v>/api/staff/crm</x:v>
      </x:c>
      <x:c r="E402" s="10" t="str">
        <x:v>Technical tester</x:v>
      </x:c>
      <x:c r="F402" s="10" t="str">
        <x:v>P0</x:v>
      </x:c>
      <x:c r="G402" s="10" t="str">
        <x:v>Isolated only</x:v>
      </x:c>
      <x:c r="H402" s="10" t="str">
        <x:v>Record deployed build. Use assigned test accounts, synthetic data and approved fixtures/recipients only.</x:v>
      </x:c>
      <x:c r="I402" s="10" t="str">
        <x:v>Using isolated fixtures, replay POST /api/staff/crm as anonymous, ordinary member, unrelated staff role and wrong owner as applicable. Test every current supported action separately; record authorization differences.</x:v>
      </x:c>
      <x:c r="J402" s="10" t="str">
        <x:v>Authorization matches action-specific grants/ownership/publication; authorized exceptions remain allowed and all unauthorized reads/writes denied without private leakage.</x:v>
      </x:c>
      <x:c r="K402" s="11" t="str"/>
      <x:c r="L402" s="11" t="str">
        <x:v>Not run</x:v>
      </x:c>
      <x:c r="M402" s="11" t="str"/>
      <x:c r="N402" s="11" t="str"/>
      <x:c r="O402" s="11" t="str"/>
      <x:c r="P402" s="11" t="str"/>
      <x:c r="Q402" s="11" t="str"/>
      <x:c r="R402" s="11" t="str"/>
      <x:c r="S402" s="10" t="str">
        <x:v>Role/request matrix + response + unchanged database</x:v>
      </x:c>
      <x:c r="T402" s="10" t="str">
        <x:v>src/app/api/staff/crm/route.ts</x:v>
      </x:c>
      <x:c r="U402" s="10" t="str">
        <x:v>Reconcile tagged fixtures; archive/withdraw only owned test publications. Preserve audit/financial history.</x:v>
      </x:c>
      <x:c r="V402" s="12" t="str">
        <x:f>IF(A402="","",IF(L402="Not run","Pending",IF(OR(L402="Blocked",L402="Not deployed",L402="Not applicable"),IF(OR(K402="",R402=""),"Needs explanation","Recorded"),IF(OR(L402="Pass",L402="Fail"),IF(OR(K402="",M402="",P402=""),"Needs result/evidence/build","Recorded"),"Needs valid status"))))</x:f>
        <x:v>Pending</x:v>
      </x:c>
    </x:row>
    <x:row r="403" ht="66" customHeight="1">
      <x:c r="A403" s="10" t="str">
        <x:v>QA-0399</x:v>
      </x:c>
      <x:c r="B403" s="10" t="str">
        <x:v>T. API contract</x:v>
      </x:c>
      <x:c r="C403" s="10" t="str">
        <x:v>GET /api/staff/deliveries</x:v>
      </x:c>
      <x:c r="D403" s="10" t="str">
        <x:v>/api/staff/deliveries</x:v>
      </x:c>
      <x:c r="E403" s="10" t="str">
        <x:v>Technical tester</x:v>
      </x:c>
      <x:c r="F403" s="10" t="str">
        <x:v>P1</x:v>
      </x:c>
      <x:c r="G403" s="10" t="str">
        <x:v>Isolated only</x:v>
      </x:c>
      <x:c r="H403" s="10" t="str">
        <x:v>Isolated app/database; providers disabled or QA allowlist; exact request schema and fixture ID from current source/UI.</x:v>
      </x:c>
      <x:c r="I403" s="10" t="str">
        <x:v>Inspect route and delegated service contract for query/body/allowed actions. Capture a valid request from QA UI, replace dynamic IDs with owned fixture IDs, replay GET /api/staff/deliveries once in isolated environment. Check status/body/headers and exact database/job effects.</x:v>
      </x:c>
      <x:c r="J403" s="10" t="str">
        <x:v>Valid supported request returns documented result; expected mutations only. Public/token endpoints follow their own policy; no assumption of a universal 200/401 response.</x:v>
      </x:c>
      <x:c r="K403" s="11" t="str"/>
      <x:c r="L403" s="11" t="str">
        <x:v>Not run</x:v>
      </x:c>
      <x:c r="M403" s="11" t="str"/>
      <x:c r="N403" s="11" t="str"/>
      <x:c r="O403" s="11" t="str"/>
      <x:c r="P403" s="11" t="str"/>
      <x:c r="Q403" s="11" t="str"/>
      <x:c r="R403" s="11" t="str"/>
      <x:c r="S403" s="10" t="str">
        <x:v>Sanitized HTTP request/response + before/after query</x:v>
      </x:c>
      <x:c r="T403" s="10" t="str">
        <x:v>src/app/api/staff/deliveries/route.ts</x:v>
      </x:c>
      <x:c r="U403" s="10" t="str">
        <x:v>Reconcile tagged fixtures; archive/withdraw only owned test publications. Preserve audit/financial history.</x:v>
      </x:c>
      <x:c r="V403" s="12" t="str">
        <x:f>IF(A403="","",IF(L403="Not run","Pending",IF(OR(L403="Blocked",L403="Not deployed",L403="Not applicable"),IF(OR(K403="",R403=""),"Needs explanation","Recorded"),IF(OR(L403="Pass",L403="Fail"),IF(OR(K403="",M403="",P403=""),"Needs result/evidence/build","Recorded"),"Needs valid status"))))</x:f>
        <x:v>Pending</x:v>
      </x:c>
    </x:row>
    <x:row r="404" ht="52" customHeight="1">
      <x:c r="A404" s="10" t="str">
        <x:v>QA-0400</x:v>
      </x:c>
      <x:c r="B404" s="10" t="str">
        <x:v>T. API contract</x:v>
      </x:c>
      <x:c r="C404" s="10" t="str">
        <x:v>GET boundary: /api/staff/deliveries</x:v>
      </x:c>
      <x:c r="D404" s="10" t="str">
        <x:v>/api/staff/deliveries</x:v>
      </x:c>
      <x:c r="E404" s="10" t="str">
        <x:v>Technical tester</x:v>
      </x:c>
      <x:c r="F404" s="10" t="str">
        <x:v>P0</x:v>
      </x:c>
      <x:c r="G404" s="10" t="str">
        <x:v>Isolated only</x:v>
      </x:c>
      <x:c r="H404" s="10" t="str">
        <x:v>Record deployed build. Use assigned test accounts, synthetic data and approved fixtures/recipients only.</x:v>
      </x:c>
      <x:c r="I404" s="10" t="str">
        <x:v>Using isolated fixtures, replay GET /api/staff/deliveries as anonymous, ordinary member, unrelated staff role and wrong owner as applicable. Test every current supported action separately; record authorization differences.</x:v>
      </x:c>
      <x:c r="J404" s="10" t="str">
        <x:v>Authorization matches action-specific grants/ownership/publication; authorized exceptions remain allowed and all unauthorized reads/writes denied without private leakage.</x:v>
      </x:c>
      <x:c r="K404" s="11" t="str"/>
      <x:c r="L404" s="11" t="str">
        <x:v>Not run</x:v>
      </x:c>
      <x:c r="M404" s="11" t="str"/>
      <x:c r="N404" s="11" t="str"/>
      <x:c r="O404" s="11" t="str"/>
      <x:c r="P404" s="11" t="str"/>
      <x:c r="Q404" s="11" t="str"/>
      <x:c r="R404" s="11" t="str"/>
      <x:c r="S404" s="10" t="str">
        <x:v>Role/request matrix + response + unchanged database</x:v>
      </x:c>
      <x:c r="T404" s="10" t="str">
        <x:v>src/app/api/staff/deliveries/route.ts</x:v>
      </x:c>
      <x:c r="U404" s="10" t="str">
        <x:v>Reconcile tagged fixtures; archive/withdraw only owned test publications. Preserve audit/financial history.</x:v>
      </x:c>
      <x:c r="V404" s="12" t="str">
        <x:f>IF(A404="","",IF(L404="Not run","Pending",IF(OR(L404="Blocked",L404="Not deployed",L404="Not applicable"),IF(OR(K404="",R404=""),"Needs explanation","Recorded"),IF(OR(L404="Pass",L404="Fail"),IF(OR(K404="",M404="",P404=""),"Needs result/evidence/build","Recorded"),"Needs valid status"))))</x:f>
        <x:v>Pending</x:v>
      </x:c>
    </x:row>
    <x:row r="405" ht="66" customHeight="1">
      <x:c r="A405" s="10" t="str">
        <x:v>QA-0401</x:v>
      </x:c>
      <x:c r="B405" s="10" t="str">
        <x:v>T. API contract</x:v>
      </x:c>
      <x:c r="C405" s="10" t="str">
        <x:v>GET /api/staff/event-assets</x:v>
      </x:c>
      <x:c r="D405" s="10" t="str">
        <x:v>/api/staff/event-assets</x:v>
      </x:c>
      <x:c r="E405" s="10" t="str">
        <x:v>Technical tester</x:v>
      </x:c>
      <x:c r="F405" s="10" t="str">
        <x:v>P1</x:v>
      </x:c>
      <x:c r="G405" s="10" t="str">
        <x:v>Isolated only</x:v>
      </x:c>
      <x:c r="H405" s="10" t="str">
        <x:v>Isolated app/database; providers disabled or QA allowlist; exact request schema and fixture ID from current source/UI.</x:v>
      </x:c>
      <x:c r="I405" s="10" t="str">
        <x:v>Inspect route and delegated service contract for query/body/allowed actions. Capture a valid request from QA UI, replace dynamic IDs with owned fixture IDs, replay GET /api/staff/event-assets once in isolated environment. Check status/body/headers and exact database/job effects.</x:v>
      </x:c>
      <x:c r="J405" s="10" t="str">
        <x:v>Valid supported request returns documented result; expected mutations only. Public/token endpoints follow their own policy; no assumption of a universal 200/401 response.</x:v>
      </x:c>
      <x:c r="K405" s="11" t="str"/>
      <x:c r="L405" s="11" t="str">
        <x:v>Not run</x:v>
      </x:c>
      <x:c r="M405" s="11" t="str"/>
      <x:c r="N405" s="11" t="str"/>
      <x:c r="O405" s="11" t="str"/>
      <x:c r="P405" s="11" t="str"/>
      <x:c r="Q405" s="11" t="str"/>
      <x:c r="R405" s="11" t="str"/>
      <x:c r="S405" s="10" t="str">
        <x:v>Sanitized HTTP request/response + before/after query</x:v>
      </x:c>
      <x:c r="T405" s="10" t="str">
        <x:v>src/app/api/staff/event-assets/route.ts</x:v>
      </x:c>
      <x:c r="U405" s="10" t="str">
        <x:v>Reconcile tagged fixtures; archive/withdraw only owned test publications. Preserve audit/financial history.</x:v>
      </x:c>
      <x:c r="V405" s="12" t="str">
        <x:f>IF(A405="","",IF(L405="Not run","Pending",IF(OR(L405="Blocked",L405="Not deployed",L405="Not applicable"),IF(OR(K405="",R405=""),"Needs explanation","Recorded"),IF(OR(L405="Pass",L405="Fail"),IF(OR(K405="",M405="",P405=""),"Needs result/evidence/build","Recorded"),"Needs valid status"))))</x:f>
        <x:v>Pending</x:v>
      </x:c>
    </x:row>
    <x:row r="406" ht="52" customHeight="1">
      <x:c r="A406" s="10" t="str">
        <x:v>QA-0402</x:v>
      </x:c>
      <x:c r="B406" s="10" t="str">
        <x:v>T. API contract</x:v>
      </x:c>
      <x:c r="C406" s="10" t="str">
        <x:v>GET boundary: /api/staff/event-assets</x:v>
      </x:c>
      <x:c r="D406" s="10" t="str">
        <x:v>/api/staff/event-assets</x:v>
      </x:c>
      <x:c r="E406" s="10" t="str">
        <x:v>Technical tester</x:v>
      </x:c>
      <x:c r="F406" s="10" t="str">
        <x:v>P0</x:v>
      </x:c>
      <x:c r="G406" s="10" t="str">
        <x:v>Isolated only</x:v>
      </x:c>
      <x:c r="H406" s="10" t="str">
        <x:v>Record deployed build. Use assigned test accounts, synthetic data and approved fixtures/recipients only.</x:v>
      </x:c>
      <x:c r="I406" s="10" t="str">
        <x:v>Using isolated fixtures, replay GET /api/staff/event-assets as anonymous, ordinary member, unrelated staff role and wrong owner as applicable. Test every current supported action separately; record authorization differences.</x:v>
      </x:c>
      <x:c r="J406" s="10" t="str">
        <x:v>Authorization matches action-specific grants/ownership/publication; authorized exceptions remain allowed and all unauthorized reads/writes denied without private leakage.</x:v>
      </x:c>
      <x:c r="K406" s="11" t="str"/>
      <x:c r="L406" s="11" t="str">
        <x:v>Not run</x:v>
      </x:c>
      <x:c r="M406" s="11" t="str"/>
      <x:c r="N406" s="11" t="str"/>
      <x:c r="O406" s="11" t="str"/>
      <x:c r="P406" s="11" t="str"/>
      <x:c r="Q406" s="11" t="str"/>
      <x:c r="R406" s="11" t="str"/>
      <x:c r="S406" s="10" t="str">
        <x:v>Role/request matrix + response + unchanged database</x:v>
      </x:c>
      <x:c r="T406" s="10" t="str">
        <x:v>src/app/api/staff/event-assets/route.ts</x:v>
      </x:c>
      <x:c r="U406" s="10" t="str">
        <x:v>Reconcile tagged fixtures; archive/withdraw only owned test publications. Preserve audit/financial history.</x:v>
      </x:c>
      <x:c r="V406" s="12" t="str">
        <x:f>IF(A406="","",IF(L406="Not run","Pending",IF(OR(L406="Blocked",L406="Not deployed",L406="Not applicable"),IF(OR(K406="",R406=""),"Needs explanation","Recorded"),IF(OR(L406="Pass",L406="Fail"),IF(OR(K406="",M406="",P406=""),"Needs result/evidence/build","Recorded"),"Needs valid status"))))</x:f>
        <x:v>Pending</x:v>
      </x:c>
    </x:row>
    <x:row r="407" ht="66" customHeight="1">
      <x:c r="A407" s="10" t="str">
        <x:v>QA-0403</x:v>
      </x:c>
      <x:c r="B407" s="10" t="str">
        <x:v>T. API contract</x:v>
      </x:c>
      <x:c r="C407" s="10" t="str">
        <x:v>POST /api/staff/event-assets</x:v>
      </x:c>
      <x:c r="D407" s="10" t="str">
        <x:v>/api/staff/event-assets</x:v>
      </x:c>
      <x:c r="E407" s="10" t="str">
        <x:v>Technical tester</x:v>
      </x:c>
      <x:c r="F407" s="10" t="str">
        <x:v>P0</x:v>
      </x:c>
      <x:c r="G407" s="10" t="str">
        <x:v>Isolated only</x:v>
      </x:c>
      <x:c r="H407" s="10" t="str">
        <x:v>Isolated app/database; providers disabled or QA allowlist; exact request schema and fixture ID from current source/UI.</x:v>
      </x:c>
      <x:c r="I407" s="10" t="str">
        <x:v>Inspect route and delegated service contract for query/body/allowed actions. Capture a valid request from QA UI, replace dynamic IDs with owned fixture IDs, replay POST /api/staff/event-assets once in isolated environment. Check status/body/headers and exact database/job effects.</x:v>
      </x:c>
      <x:c r="J407" s="10" t="str">
        <x:v>Valid supported request returns documented result; expected mutations only. Public/token endpoints follow their own policy; no assumption of a universal 200/401 response.</x:v>
      </x:c>
      <x:c r="K407" s="11" t="str"/>
      <x:c r="L407" s="11" t="str">
        <x:v>Not run</x:v>
      </x:c>
      <x:c r="M407" s="11" t="str"/>
      <x:c r="N407" s="11" t="str"/>
      <x:c r="O407" s="11" t="str"/>
      <x:c r="P407" s="11" t="str"/>
      <x:c r="Q407" s="11" t="str"/>
      <x:c r="R407" s="11" t="str"/>
      <x:c r="S407" s="10" t="str">
        <x:v>Sanitized HTTP request/response + before/after query</x:v>
      </x:c>
      <x:c r="T407" s="10" t="str">
        <x:v>src/app/api/staff/event-assets/route.ts</x:v>
      </x:c>
      <x:c r="U407" s="10" t="str">
        <x:v>Reconcile tagged fixtures; archive/withdraw only owned test publications. Preserve audit/financial history.</x:v>
      </x:c>
      <x:c r="V407" s="12" t="str">
        <x:f>IF(A407="","",IF(L407="Not run","Pending",IF(OR(L407="Blocked",L407="Not deployed",L407="Not applicable"),IF(OR(K407="",R407=""),"Needs explanation","Recorded"),IF(OR(L407="Pass",L407="Fail"),IF(OR(K407="",M407="",P407=""),"Needs result/evidence/build","Recorded"),"Needs valid status"))))</x:f>
        <x:v>Pending</x:v>
      </x:c>
    </x:row>
    <x:row r="408" ht="52" customHeight="1">
      <x:c r="A408" s="10" t="str">
        <x:v>QA-0404</x:v>
      </x:c>
      <x:c r="B408" s="10" t="str">
        <x:v>T. API contract</x:v>
      </x:c>
      <x:c r="C408" s="10" t="str">
        <x:v>POST boundary: /api/staff/event-assets</x:v>
      </x:c>
      <x:c r="D408" s="10" t="str">
        <x:v>/api/staff/event-assets</x:v>
      </x:c>
      <x:c r="E408" s="10" t="str">
        <x:v>Technical tester</x:v>
      </x:c>
      <x:c r="F408" s="10" t="str">
        <x:v>P0</x:v>
      </x:c>
      <x:c r="G408" s="10" t="str">
        <x:v>Isolated only</x:v>
      </x:c>
      <x:c r="H408" s="10" t="str">
        <x:v>Record deployed build. Use assigned test accounts, synthetic data and approved fixtures/recipients only.</x:v>
      </x:c>
      <x:c r="I408" s="10" t="str">
        <x:v>Using isolated fixtures, replay POST /api/staff/event-assets as anonymous, ordinary member, unrelated staff role and wrong owner as applicable. Test every current supported action separately; record authorization differences.</x:v>
      </x:c>
      <x:c r="J408" s="10" t="str">
        <x:v>Authorization matches action-specific grants/ownership/publication; authorized exceptions remain allowed and all unauthorized reads/writes denied without private leakage.</x:v>
      </x:c>
      <x:c r="K408" s="11" t="str"/>
      <x:c r="L408" s="11" t="str">
        <x:v>Not run</x:v>
      </x:c>
      <x:c r="M408" s="11" t="str"/>
      <x:c r="N408" s="11" t="str"/>
      <x:c r="O408" s="11" t="str"/>
      <x:c r="P408" s="11" t="str"/>
      <x:c r="Q408" s="11" t="str"/>
      <x:c r="R408" s="11" t="str"/>
      <x:c r="S408" s="10" t="str">
        <x:v>Role/request matrix + response + unchanged database</x:v>
      </x:c>
      <x:c r="T408" s="10" t="str">
        <x:v>src/app/api/staff/event-assets/route.ts</x:v>
      </x:c>
      <x:c r="U408" s="10" t="str">
        <x:v>Reconcile tagged fixtures; archive/withdraw only owned test publications. Preserve audit/financial history.</x:v>
      </x:c>
      <x:c r="V408" s="12" t="str">
        <x:f>IF(A408="","",IF(L408="Not run","Pending",IF(OR(L408="Blocked",L408="Not deployed",L408="Not applicable"),IF(OR(K408="",R408=""),"Needs explanation","Recorded"),IF(OR(L408="Pass",L408="Fail"),IF(OR(K408="",M408="",P408=""),"Needs result/evidence/build","Recorded"),"Needs valid status"))))</x:f>
        <x:v>Pending</x:v>
      </x:c>
    </x:row>
    <x:row r="409" ht="66" customHeight="1">
      <x:c r="A409" s="10" t="str">
        <x:v>QA-0405</x:v>
      </x:c>
      <x:c r="B409" s="10" t="str">
        <x:v>T. API contract</x:v>
      </x:c>
      <x:c r="C409" s="10" t="str">
        <x:v>GET /api/staff/event-badges</x:v>
      </x:c>
      <x:c r="D409" s="10" t="str">
        <x:v>/api/staff/event-badges</x:v>
      </x:c>
      <x:c r="E409" s="10" t="str">
        <x:v>Technical tester</x:v>
      </x:c>
      <x:c r="F409" s="10" t="str">
        <x:v>P1</x:v>
      </x:c>
      <x:c r="G409" s="10" t="str">
        <x:v>Isolated only</x:v>
      </x:c>
      <x:c r="H409" s="10" t="str">
        <x:v>Isolated app/database; providers disabled or QA allowlist; exact request schema and fixture ID from current source/UI.</x:v>
      </x:c>
      <x:c r="I409" s="10" t="str">
        <x:v>Inspect route and delegated service contract for query/body/allowed actions. Capture a valid request from QA UI, replace dynamic IDs with owned fixture IDs, replay GET /api/staff/event-badges once in isolated environment. Check status/body/headers and exact database/job effects.</x:v>
      </x:c>
      <x:c r="J409" s="10" t="str">
        <x:v>Valid supported request returns documented result; expected mutations only. Public/token endpoints follow their own policy; no assumption of a universal 200/401 response.</x:v>
      </x:c>
      <x:c r="K409" s="11" t="str"/>
      <x:c r="L409" s="11" t="str">
        <x:v>Not run</x:v>
      </x:c>
      <x:c r="M409" s="11" t="str"/>
      <x:c r="N409" s="11" t="str"/>
      <x:c r="O409" s="11" t="str"/>
      <x:c r="P409" s="11" t="str"/>
      <x:c r="Q409" s="11" t="str"/>
      <x:c r="R409" s="11" t="str"/>
      <x:c r="S409" s="10" t="str">
        <x:v>Sanitized HTTP request/response + before/after query</x:v>
      </x:c>
      <x:c r="T409" s="10" t="str">
        <x:v>src/app/api/staff/event-badges/route.ts</x:v>
      </x:c>
      <x:c r="U409" s="10" t="str">
        <x:v>Reconcile tagged fixtures; archive/withdraw only owned test publications. Preserve audit/financial history.</x:v>
      </x:c>
      <x:c r="V409" s="12" t="str">
        <x:f>IF(A409="","",IF(L409="Not run","Pending",IF(OR(L409="Blocked",L409="Not deployed",L409="Not applicable"),IF(OR(K409="",R409=""),"Needs explanation","Recorded"),IF(OR(L409="Pass",L409="Fail"),IF(OR(K409="",M409="",P409=""),"Needs result/evidence/build","Recorded"),"Needs valid status"))))</x:f>
        <x:v>Pending</x:v>
      </x:c>
    </x:row>
    <x:row r="410" ht="52" customHeight="1">
      <x:c r="A410" s="10" t="str">
        <x:v>QA-0406</x:v>
      </x:c>
      <x:c r="B410" s="10" t="str">
        <x:v>T. API contract</x:v>
      </x:c>
      <x:c r="C410" s="10" t="str">
        <x:v>GET boundary: /api/staff/event-badges</x:v>
      </x:c>
      <x:c r="D410" s="10" t="str">
        <x:v>/api/staff/event-badges</x:v>
      </x:c>
      <x:c r="E410" s="10" t="str">
        <x:v>Technical tester</x:v>
      </x:c>
      <x:c r="F410" s="10" t="str">
        <x:v>P0</x:v>
      </x:c>
      <x:c r="G410" s="10" t="str">
        <x:v>Isolated only</x:v>
      </x:c>
      <x:c r="H410" s="10" t="str">
        <x:v>Record deployed build. Use assigned test accounts, synthetic data and approved fixtures/recipients only.</x:v>
      </x:c>
      <x:c r="I410" s="10" t="str">
        <x:v>Using isolated fixtures, replay GET /api/staff/event-badges as anonymous, ordinary member, unrelated staff role and wrong owner as applicable. Test every current supported action separately; record authorization differences.</x:v>
      </x:c>
      <x:c r="J410" s="10" t="str">
        <x:v>Authorization matches action-specific grants/ownership/publication; authorized exceptions remain allowed and all unauthorized reads/writes denied without private leakage.</x:v>
      </x:c>
      <x:c r="K410" s="11" t="str"/>
      <x:c r="L410" s="11" t="str">
        <x:v>Not run</x:v>
      </x:c>
      <x:c r="M410" s="11" t="str"/>
      <x:c r="N410" s="11" t="str"/>
      <x:c r="O410" s="11" t="str"/>
      <x:c r="P410" s="11" t="str"/>
      <x:c r="Q410" s="11" t="str"/>
      <x:c r="R410" s="11" t="str"/>
      <x:c r="S410" s="10" t="str">
        <x:v>Role/request matrix + response + unchanged database</x:v>
      </x:c>
      <x:c r="T410" s="10" t="str">
        <x:v>src/app/api/staff/event-badges/route.ts</x:v>
      </x:c>
      <x:c r="U410" s="10" t="str">
        <x:v>Reconcile tagged fixtures; archive/withdraw only owned test publications. Preserve audit/financial history.</x:v>
      </x:c>
      <x:c r="V410" s="12" t="str">
        <x:f>IF(A410="","",IF(L410="Not run","Pending",IF(OR(L410="Blocked",L410="Not deployed",L410="Not applicable"),IF(OR(K410="",R410=""),"Needs explanation","Recorded"),IF(OR(L410="Pass",L410="Fail"),IF(OR(K410="",M410="",P410=""),"Needs result/evidence/build","Recorded"),"Needs valid status"))))</x:f>
        <x:v>Pending</x:v>
      </x:c>
    </x:row>
    <x:row r="411" ht="66" customHeight="1">
      <x:c r="A411" s="10" t="str">
        <x:v>QA-0407</x:v>
      </x:c>
      <x:c r="B411" s="10" t="str">
        <x:v>T. API contract</x:v>
      </x:c>
      <x:c r="C411" s="10" t="str">
        <x:v>POST /api/staff/event-badges</x:v>
      </x:c>
      <x:c r="D411" s="10" t="str">
        <x:v>/api/staff/event-badges</x:v>
      </x:c>
      <x:c r="E411" s="10" t="str">
        <x:v>Technical tester</x:v>
      </x:c>
      <x:c r="F411" s="10" t="str">
        <x:v>P0</x:v>
      </x:c>
      <x:c r="G411" s="10" t="str">
        <x:v>Isolated only</x:v>
      </x:c>
      <x:c r="H411" s="10" t="str">
        <x:v>Isolated app/database; providers disabled or QA allowlist; exact request schema and fixture ID from current source/UI.</x:v>
      </x:c>
      <x:c r="I411" s="10" t="str">
        <x:v>Inspect route and delegated service contract for query/body/allowed actions. Capture a valid request from QA UI, replace dynamic IDs with owned fixture IDs, replay POST /api/staff/event-badges once in isolated environment. Check status/body/headers and exact database/job effects.</x:v>
      </x:c>
      <x:c r="J411" s="10" t="str">
        <x:v>Valid supported request returns documented result; expected mutations only. Public/token endpoints follow their own policy; no assumption of a universal 200/401 response.</x:v>
      </x:c>
      <x:c r="K411" s="11" t="str"/>
      <x:c r="L411" s="11" t="str">
        <x:v>Not run</x:v>
      </x:c>
      <x:c r="M411" s="11" t="str"/>
      <x:c r="N411" s="11" t="str"/>
      <x:c r="O411" s="11" t="str"/>
      <x:c r="P411" s="11" t="str"/>
      <x:c r="Q411" s="11" t="str"/>
      <x:c r="R411" s="11" t="str"/>
      <x:c r="S411" s="10" t="str">
        <x:v>Sanitized HTTP request/response + before/after query</x:v>
      </x:c>
      <x:c r="T411" s="10" t="str">
        <x:v>src/app/api/staff/event-badges/route.ts</x:v>
      </x:c>
      <x:c r="U411" s="10" t="str">
        <x:v>Reconcile tagged fixtures; archive/withdraw only owned test publications. Preserve audit/financial history.</x:v>
      </x:c>
      <x:c r="V411" s="12" t="str">
        <x:f>IF(A411="","",IF(L411="Not run","Pending",IF(OR(L411="Blocked",L411="Not deployed",L411="Not applicable"),IF(OR(K411="",R411=""),"Needs explanation","Recorded"),IF(OR(L411="Pass",L411="Fail"),IF(OR(K411="",M411="",P411=""),"Needs result/evidence/build","Recorded"),"Needs valid status"))))</x:f>
        <x:v>Pending</x:v>
      </x:c>
    </x:row>
    <x:row r="412" ht="52" customHeight="1">
      <x:c r="A412" s="10" t="str">
        <x:v>QA-0408</x:v>
      </x:c>
      <x:c r="B412" s="10" t="str">
        <x:v>T. API contract</x:v>
      </x:c>
      <x:c r="C412" s="10" t="str">
        <x:v>POST boundary: /api/staff/event-badges</x:v>
      </x:c>
      <x:c r="D412" s="10" t="str">
        <x:v>/api/staff/event-badges</x:v>
      </x:c>
      <x:c r="E412" s="10" t="str">
        <x:v>Technical tester</x:v>
      </x:c>
      <x:c r="F412" s="10" t="str">
        <x:v>P0</x:v>
      </x:c>
      <x:c r="G412" s="10" t="str">
        <x:v>Isolated only</x:v>
      </x:c>
      <x:c r="H412" s="10" t="str">
        <x:v>Record deployed build. Use assigned test accounts, synthetic data and approved fixtures/recipients only.</x:v>
      </x:c>
      <x:c r="I412" s="10" t="str">
        <x:v>Using isolated fixtures, replay POST /api/staff/event-badges as anonymous, ordinary member, unrelated staff role and wrong owner as applicable. Test every current supported action separately; record authorization differences.</x:v>
      </x:c>
      <x:c r="J412" s="10" t="str">
        <x:v>Authorization matches action-specific grants/ownership/publication; authorized exceptions remain allowed and all unauthorized reads/writes denied without private leakage.</x:v>
      </x:c>
      <x:c r="K412" s="11" t="str"/>
      <x:c r="L412" s="11" t="str">
        <x:v>Not run</x:v>
      </x:c>
      <x:c r="M412" s="11" t="str"/>
      <x:c r="N412" s="11" t="str"/>
      <x:c r="O412" s="11" t="str"/>
      <x:c r="P412" s="11" t="str"/>
      <x:c r="Q412" s="11" t="str"/>
      <x:c r="R412" s="11" t="str"/>
      <x:c r="S412" s="10" t="str">
        <x:v>Role/request matrix + response + unchanged database</x:v>
      </x:c>
      <x:c r="T412" s="10" t="str">
        <x:v>src/app/api/staff/event-badges/route.ts</x:v>
      </x:c>
      <x:c r="U412" s="10" t="str">
        <x:v>Reconcile tagged fixtures; archive/withdraw only owned test publications. Preserve audit/financial history.</x:v>
      </x:c>
      <x:c r="V412" s="12" t="str">
        <x:f>IF(A412="","",IF(L412="Not run","Pending",IF(OR(L412="Blocked",L412="Not deployed",L412="Not applicable"),IF(OR(K412="",R412=""),"Needs explanation","Recorded"),IF(OR(L412="Pass",L412="Fail"),IF(OR(K412="",M412="",P412=""),"Needs result/evidence/build","Recorded"),"Needs valid status"))))</x:f>
        <x:v>Pending</x:v>
      </x:c>
    </x:row>
    <x:row r="413" ht="66" customHeight="1">
      <x:c r="A413" s="10" t="str">
        <x:v>QA-0409</x:v>
      </x:c>
      <x:c r="B413" s="10" t="str">
        <x:v>T. API contract</x:v>
      </x:c>
      <x:c r="C413" s="10" t="str">
        <x:v>GET /api/staff/event-promotions</x:v>
      </x:c>
      <x:c r="D413" s="10" t="str">
        <x:v>/api/staff/event-promotions</x:v>
      </x:c>
      <x:c r="E413" s="10" t="str">
        <x:v>Technical tester</x:v>
      </x:c>
      <x:c r="F413" s="10" t="str">
        <x:v>P1</x:v>
      </x:c>
      <x:c r="G413" s="10" t="str">
        <x:v>Isolated only</x:v>
      </x:c>
      <x:c r="H413" s="10" t="str">
        <x:v>Isolated app/database; providers disabled or QA allowlist; exact request schema and fixture ID from current source/UI.</x:v>
      </x:c>
      <x:c r="I413" s="10" t="str">
        <x:v>Inspect route and delegated service contract for query/body/allowed actions. Capture a valid request from QA UI, replace dynamic IDs with owned fixture IDs, replay GET /api/staff/event-promotions once in isolated environment. Check status/body/headers and exact database/job effects.</x:v>
      </x:c>
      <x:c r="J413" s="10" t="str">
        <x:v>Valid supported request returns documented result; expected mutations only. Public/token endpoints follow their own policy; no assumption of a universal 200/401 response.</x:v>
      </x:c>
      <x:c r="K413" s="11" t="str"/>
      <x:c r="L413" s="11" t="str">
        <x:v>Not run</x:v>
      </x:c>
      <x:c r="M413" s="11" t="str"/>
      <x:c r="N413" s="11" t="str"/>
      <x:c r="O413" s="11" t="str"/>
      <x:c r="P413" s="11" t="str"/>
      <x:c r="Q413" s="11" t="str"/>
      <x:c r="R413" s="11" t="str"/>
      <x:c r="S413" s="10" t="str">
        <x:v>Sanitized HTTP request/response + before/after query</x:v>
      </x:c>
      <x:c r="T413" s="10" t="str">
        <x:v>src/app/api/staff/event-promotions/route.ts</x:v>
      </x:c>
      <x:c r="U413" s="10" t="str">
        <x:v>Reconcile tagged fixtures; archive/withdraw only owned test publications. Preserve audit/financial history.</x:v>
      </x:c>
      <x:c r="V413" s="12" t="str">
        <x:f>IF(A413="","",IF(L413="Not run","Pending",IF(OR(L413="Blocked",L413="Not deployed",L413="Not applicable"),IF(OR(K413="",R413=""),"Needs explanation","Recorded"),IF(OR(L413="Pass",L413="Fail"),IF(OR(K413="",M413="",P413=""),"Needs result/evidence/build","Recorded"),"Needs valid status"))))</x:f>
        <x:v>Pending</x:v>
      </x:c>
    </x:row>
    <x:row r="414" ht="52" customHeight="1">
      <x:c r="A414" s="10" t="str">
        <x:v>QA-0410</x:v>
      </x:c>
      <x:c r="B414" s="10" t="str">
        <x:v>T. API contract</x:v>
      </x:c>
      <x:c r="C414" s="10" t="str">
        <x:v>GET boundary: /api/staff/event-promotions</x:v>
      </x:c>
      <x:c r="D414" s="10" t="str">
        <x:v>/api/staff/event-promotions</x:v>
      </x:c>
      <x:c r="E414" s="10" t="str">
        <x:v>Technical tester</x:v>
      </x:c>
      <x:c r="F414" s="10" t="str">
        <x:v>P0</x:v>
      </x:c>
      <x:c r="G414" s="10" t="str">
        <x:v>Isolated only</x:v>
      </x:c>
      <x:c r="H414" s="10" t="str">
        <x:v>Record deployed build. Use assigned test accounts, synthetic data and approved fixtures/recipients only.</x:v>
      </x:c>
      <x:c r="I414" s="10" t="str">
        <x:v>Using isolated fixtures, replay GET /api/staff/event-promotions as anonymous, ordinary member, unrelated staff role and wrong owner as applicable. Test every current supported action separately; record authorization differences.</x:v>
      </x:c>
      <x:c r="J414" s="10" t="str">
        <x:v>Authorization matches action-specific grants/ownership/publication; authorized exceptions remain allowed and all unauthorized reads/writes denied without private leakage.</x:v>
      </x:c>
      <x:c r="K414" s="11" t="str"/>
      <x:c r="L414" s="11" t="str">
        <x:v>Not run</x:v>
      </x:c>
      <x:c r="M414" s="11" t="str"/>
      <x:c r="N414" s="11" t="str"/>
      <x:c r="O414" s="11" t="str"/>
      <x:c r="P414" s="11" t="str"/>
      <x:c r="Q414" s="11" t="str"/>
      <x:c r="R414" s="11" t="str"/>
      <x:c r="S414" s="10" t="str">
        <x:v>Role/request matrix + response + unchanged database</x:v>
      </x:c>
      <x:c r="T414" s="10" t="str">
        <x:v>src/app/api/staff/event-promotions/route.ts</x:v>
      </x:c>
      <x:c r="U414" s="10" t="str">
        <x:v>Reconcile tagged fixtures; archive/withdraw only owned test publications. Preserve audit/financial history.</x:v>
      </x:c>
      <x:c r="V414" s="12" t="str">
        <x:f>IF(A414="","",IF(L414="Not run","Pending",IF(OR(L414="Blocked",L414="Not deployed",L414="Not applicable"),IF(OR(K414="",R414=""),"Needs explanation","Recorded"),IF(OR(L414="Pass",L414="Fail"),IF(OR(K414="",M414="",P414=""),"Needs result/evidence/build","Recorded"),"Needs valid status"))))</x:f>
        <x:v>Pending</x:v>
      </x:c>
    </x:row>
    <x:row r="415" ht="66" customHeight="1">
      <x:c r="A415" s="10" t="str">
        <x:v>QA-0411</x:v>
      </x:c>
      <x:c r="B415" s="10" t="str">
        <x:v>T. API contract</x:v>
      </x:c>
      <x:c r="C415" s="10" t="str">
        <x:v>POST /api/staff/event-promotions</x:v>
      </x:c>
      <x:c r="D415" s="10" t="str">
        <x:v>/api/staff/event-promotions</x:v>
      </x:c>
      <x:c r="E415" s="10" t="str">
        <x:v>Technical tester</x:v>
      </x:c>
      <x:c r="F415" s="10" t="str">
        <x:v>P0</x:v>
      </x:c>
      <x:c r="G415" s="10" t="str">
        <x:v>Isolated only</x:v>
      </x:c>
      <x:c r="H415" s="10" t="str">
        <x:v>Isolated app/database; providers disabled or QA allowlist; exact request schema and fixture ID from current source/UI.</x:v>
      </x:c>
      <x:c r="I415" s="10" t="str">
        <x:v>Inspect route and delegated service contract for query/body/allowed actions. Capture a valid request from QA UI, replace dynamic IDs with owned fixture IDs, replay POST /api/staff/event-promotions once in isolated environment. Check status/body/headers and exact database/job effects.</x:v>
      </x:c>
      <x:c r="J415" s="10" t="str">
        <x:v>Valid supported request returns documented result; expected mutations only. Public/token endpoints follow their own policy; no assumption of a universal 200/401 response.</x:v>
      </x:c>
      <x:c r="K415" s="11" t="str"/>
      <x:c r="L415" s="11" t="str">
        <x:v>Not run</x:v>
      </x:c>
      <x:c r="M415" s="11" t="str"/>
      <x:c r="N415" s="11" t="str"/>
      <x:c r="O415" s="11" t="str"/>
      <x:c r="P415" s="11" t="str"/>
      <x:c r="Q415" s="11" t="str"/>
      <x:c r="R415" s="11" t="str"/>
      <x:c r="S415" s="10" t="str">
        <x:v>Sanitized HTTP request/response + before/after query</x:v>
      </x:c>
      <x:c r="T415" s="10" t="str">
        <x:v>src/app/api/staff/event-promotions/route.ts</x:v>
      </x:c>
      <x:c r="U415" s="10" t="str">
        <x:v>Reconcile tagged fixtures; archive/withdraw only owned test publications. Preserve audit/financial history.</x:v>
      </x:c>
      <x:c r="V415" s="12" t="str">
        <x:f>IF(A415="","",IF(L415="Not run","Pending",IF(OR(L415="Blocked",L415="Not deployed",L415="Not applicable"),IF(OR(K415="",R415=""),"Needs explanation","Recorded"),IF(OR(L415="Pass",L415="Fail"),IF(OR(K415="",M415="",P415=""),"Needs result/evidence/build","Recorded"),"Needs valid status"))))</x:f>
        <x:v>Pending</x:v>
      </x:c>
    </x:row>
    <x:row r="416" ht="52" customHeight="1">
      <x:c r="A416" s="10" t="str">
        <x:v>QA-0412</x:v>
      </x:c>
      <x:c r="B416" s="10" t="str">
        <x:v>T. API contract</x:v>
      </x:c>
      <x:c r="C416" s="10" t="str">
        <x:v>POST boundary: /api/staff/event-promotions</x:v>
      </x:c>
      <x:c r="D416" s="10" t="str">
        <x:v>/api/staff/event-promotions</x:v>
      </x:c>
      <x:c r="E416" s="10" t="str">
        <x:v>Technical tester</x:v>
      </x:c>
      <x:c r="F416" s="10" t="str">
        <x:v>P0</x:v>
      </x:c>
      <x:c r="G416" s="10" t="str">
        <x:v>Isolated only</x:v>
      </x:c>
      <x:c r="H416" s="10" t="str">
        <x:v>Record deployed build. Use assigned test accounts, synthetic data and approved fixtures/recipients only.</x:v>
      </x:c>
      <x:c r="I416" s="10" t="str">
        <x:v>Using isolated fixtures, replay POST /api/staff/event-promotions as anonymous, ordinary member, unrelated staff role and wrong owner as applicable. Test every current supported action separately; record authorization differences.</x:v>
      </x:c>
      <x:c r="J416" s="10" t="str">
        <x:v>Authorization matches action-specific grants/ownership/publication; authorized exceptions remain allowed and all unauthorized reads/writes denied without private leakage.</x:v>
      </x:c>
      <x:c r="K416" s="11" t="str"/>
      <x:c r="L416" s="11" t="str">
        <x:v>Not run</x:v>
      </x:c>
      <x:c r="M416" s="11" t="str"/>
      <x:c r="N416" s="11" t="str"/>
      <x:c r="O416" s="11" t="str"/>
      <x:c r="P416" s="11" t="str"/>
      <x:c r="Q416" s="11" t="str"/>
      <x:c r="R416" s="11" t="str"/>
      <x:c r="S416" s="10" t="str">
        <x:v>Role/request matrix + response + unchanged database</x:v>
      </x:c>
      <x:c r="T416" s="10" t="str">
        <x:v>src/app/api/staff/event-promotions/route.ts</x:v>
      </x:c>
      <x:c r="U416" s="10" t="str">
        <x:v>Reconcile tagged fixtures; archive/withdraw only owned test publications. Preserve audit/financial history.</x:v>
      </x:c>
      <x:c r="V416" s="12" t="str">
        <x:f>IF(A416="","",IF(L416="Not run","Pending",IF(OR(L416="Blocked",L416="Not deployed",L416="Not applicable"),IF(OR(K416="",R416=""),"Needs explanation","Recorded"),IF(OR(L416="Pass",L416="Fail"),IF(OR(K416="",M416="",P416=""),"Needs result/evidence/build","Recorded"),"Needs valid status"))))</x:f>
        <x:v>Pending</x:v>
      </x:c>
    </x:row>
    <x:row r="417" ht="66" customHeight="1">
      <x:c r="A417" s="10" t="str">
        <x:v>QA-0413</x:v>
      </x:c>
      <x:c r="B417" s="10" t="str">
        <x:v>T. API contract</x:v>
      </x:c>
      <x:c r="C417" s="10" t="str">
        <x:v>GET /api/staff/events/delivery</x:v>
      </x:c>
      <x:c r="D417" s="10" t="str">
        <x:v>/api/staff/events/delivery</x:v>
      </x:c>
      <x:c r="E417" s="10" t="str">
        <x:v>Technical tester</x:v>
      </x:c>
      <x:c r="F417" s="10" t="str">
        <x:v>P1</x:v>
      </x:c>
      <x:c r="G417" s="10" t="str">
        <x:v>Isolated only</x:v>
      </x:c>
      <x:c r="H417" s="10" t="str">
        <x:v>Isolated app/database; providers disabled or QA allowlist; exact request schema and fixture ID from current source/UI.</x:v>
      </x:c>
      <x:c r="I417" s="10" t="str">
        <x:v>Inspect route and delegated service contract for query/body/allowed actions. Capture a valid request from QA UI, replace dynamic IDs with owned fixture IDs, replay GET /api/staff/events/delivery once in isolated environment. Check status/body/headers and exact database/job effects.</x:v>
      </x:c>
      <x:c r="J417" s="10" t="str">
        <x:v>Valid supported request returns documented result; expected mutations only. Public/token endpoints follow their own policy; no assumption of a universal 200/401 response.</x:v>
      </x:c>
      <x:c r="K417" s="11" t="str"/>
      <x:c r="L417" s="11" t="str">
        <x:v>Not run</x:v>
      </x:c>
      <x:c r="M417" s="11" t="str"/>
      <x:c r="N417" s="11" t="str"/>
      <x:c r="O417" s="11" t="str"/>
      <x:c r="P417" s="11" t="str"/>
      <x:c r="Q417" s="11" t="str"/>
      <x:c r="R417" s="11" t="str"/>
      <x:c r="S417" s="10" t="str">
        <x:v>Sanitized HTTP request/response + before/after query</x:v>
      </x:c>
      <x:c r="T417" s="10" t="str">
        <x:v>src/app/api/staff/events/delivery/route.ts</x:v>
      </x:c>
      <x:c r="U417" s="10" t="str">
        <x:v>Reconcile tagged fixtures; archive/withdraw only owned test publications. Preserve audit/financial history.</x:v>
      </x:c>
      <x:c r="V417" s="12" t="str">
        <x:f>IF(A417="","",IF(L417="Not run","Pending",IF(OR(L417="Blocked",L417="Not deployed",L417="Not applicable"),IF(OR(K417="",R417=""),"Needs explanation","Recorded"),IF(OR(L417="Pass",L417="Fail"),IF(OR(K417="",M417="",P417=""),"Needs result/evidence/build","Recorded"),"Needs valid status"))))</x:f>
        <x:v>Pending</x:v>
      </x:c>
    </x:row>
    <x:row r="418" ht="52" customHeight="1">
      <x:c r="A418" s="10" t="str">
        <x:v>QA-0414</x:v>
      </x:c>
      <x:c r="B418" s="10" t="str">
        <x:v>T. API contract</x:v>
      </x:c>
      <x:c r="C418" s="10" t="str">
        <x:v>GET boundary: /api/staff/events/delivery</x:v>
      </x:c>
      <x:c r="D418" s="10" t="str">
        <x:v>/api/staff/events/delivery</x:v>
      </x:c>
      <x:c r="E418" s="10" t="str">
        <x:v>Technical tester</x:v>
      </x:c>
      <x:c r="F418" s="10" t="str">
        <x:v>P0</x:v>
      </x:c>
      <x:c r="G418" s="10" t="str">
        <x:v>Isolated only</x:v>
      </x:c>
      <x:c r="H418" s="10" t="str">
        <x:v>Record deployed build. Use assigned test accounts, synthetic data and approved fixtures/recipients only.</x:v>
      </x:c>
      <x:c r="I418" s="10" t="str">
        <x:v>Using isolated fixtures, replay GET /api/staff/events/delivery as anonymous, ordinary member, unrelated staff role and wrong owner as applicable. Test every current supported action separately; record authorization differences.</x:v>
      </x:c>
      <x:c r="J418" s="10" t="str">
        <x:v>Authorization matches action-specific grants/ownership/publication; authorized exceptions remain allowed and all unauthorized reads/writes denied without private leakage.</x:v>
      </x:c>
      <x:c r="K418" s="11" t="str"/>
      <x:c r="L418" s="11" t="str">
        <x:v>Not run</x:v>
      </x:c>
      <x:c r="M418" s="11" t="str"/>
      <x:c r="N418" s="11" t="str"/>
      <x:c r="O418" s="11" t="str"/>
      <x:c r="P418" s="11" t="str"/>
      <x:c r="Q418" s="11" t="str"/>
      <x:c r="R418" s="11" t="str"/>
      <x:c r="S418" s="10" t="str">
        <x:v>Role/request matrix + response + unchanged database</x:v>
      </x:c>
      <x:c r="T418" s="10" t="str">
        <x:v>src/app/api/staff/events/delivery/route.ts</x:v>
      </x:c>
      <x:c r="U418" s="10" t="str">
        <x:v>Reconcile tagged fixtures; archive/withdraw only owned test publications. Preserve audit/financial history.</x:v>
      </x:c>
      <x:c r="V418" s="12" t="str">
        <x:f>IF(A418="","",IF(L418="Not run","Pending",IF(OR(L418="Blocked",L418="Not deployed",L418="Not applicable"),IF(OR(K418="",R418=""),"Needs explanation","Recorded"),IF(OR(L418="Pass",L418="Fail"),IF(OR(K418="",M418="",P418=""),"Needs result/evidence/build","Recorded"),"Needs valid status"))))</x:f>
        <x:v>Pending</x:v>
      </x:c>
    </x:row>
    <x:row r="419" ht="66" customHeight="1">
      <x:c r="A419" s="10" t="str">
        <x:v>QA-0415</x:v>
      </x:c>
      <x:c r="B419" s="10" t="str">
        <x:v>T. API contract</x:v>
      </x:c>
      <x:c r="C419" s="10" t="str">
        <x:v>GET /api/staff/events/operations</x:v>
      </x:c>
      <x:c r="D419" s="10" t="str">
        <x:v>/api/staff/events/operations</x:v>
      </x:c>
      <x:c r="E419" s="10" t="str">
        <x:v>Technical tester</x:v>
      </x:c>
      <x:c r="F419" s="10" t="str">
        <x:v>P1</x:v>
      </x:c>
      <x:c r="G419" s="10" t="str">
        <x:v>Isolated only</x:v>
      </x:c>
      <x:c r="H419" s="10" t="str">
        <x:v>Isolated app/database; providers disabled or QA allowlist; exact request schema and fixture ID from current source/UI.</x:v>
      </x:c>
      <x:c r="I419" s="10" t="str">
        <x:v>Inspect route and delegated service contract for query/body/allowed actions. Capture a valid request from QA UI, replace dynamic IDs with owned fixture IDs, replay GET /api/staff/events/operations once in isolated environment. Check status/body/headers and exact database/job effects.</x:v>
      </x:c>
      <x:c r="J419" s="10" t="str">
        <x:v>Valid supported request returns documented result; expected mutations only. Public/token endpoints follow their own policy; no assumption of a universal 200/401 response.</x:v>
      </x:c>
      <x:c r="K419" s="11" t="str"/>
      <x:c r="L419" s="11" t="str">
        <x:v>Not run</x:v>
      </x:c>
      <x:c r="M419" s="11" t="str"/>
      <x:c r="N419" s="11" t="str"/>
      <x:c r="O419" s="11" t="str"/>
      <x:c r="P419" s="11" t="str"/>
      <x:c r="Q419" s="11" t="str"/>
      <x:c r="R419" s="11" t="str"/>
      <x:c r="S419" s="10" t="str">
        <x:v>Sanitized HTTP request/response + before/after query</x:v>
      </x:c>
      <x:c r="T419" s="10" t="str">
        <x:v>src/app/api/staff/events/operations/route.ts</x:v>
      </x:c>
      <x:c r="U419" s="10" t="str">
        <x:v>Reconcile tagged fixtures; archive/withdraw only owned test publications. Preserve audit/financial history.</x:v>
      </x:c>
      <x:c r="V419" s="12" t="str">
        <x:f>IF(A419="","",IF(L419="Not run","Pending",IF(OR(L419="Blocked",L419="Not deployed",L419="Not applicable"),IF(OR(K419="",R419=""),"Needs explanation","Recorded"),IF(OR(L419="Pass",L419="Fail"),IF(OR(K419="",M419="",P419=""),"Needs result/evidence/build","Recorded"),"Needs valid status"))))</x:f>
        <x:v>Pending</x:v>
      </x:c>
    </x:row>
    <x:row r="420" ht="52" customHeight="1">
      <x:c r="A420" s="10" t="str">
        <x:v>QA-0416</x:v>
      </x:c>
      <x:c r="B420" s="10" t="str">
        <x:v>T. API contract</x:v>
      </x:c>
      <x:c r="C420" s="10" t="str">
        <x:v>GET boundary: /api/staff/events/operations</x:v>
      </x:c>
      <x:c r="D420" s="10" t="str">
        <x:v>/api/staff/events/operations</x:v>
      </x:c>
      <x:c r="E420" s="10" t="str">
        <x:v>Technical tester</x:v>
      </x:c>
      <x:c r="F420" s="10" t="str">
        <x:v>P0</x:v>
      </x:c>
      <x:c r="G420" s="10" t="str">
        <x:v>Isolated only</x:v>
      </x:c>
      <x:c r="H420" s="10" t="str">
        <x:v>Record deployed build. Use assigned test accounts, synthetic data and approved fixtures/recipients only.</x:v>
      </x:c>
      <x:c r="I420" s="10" t="str">
        <x:v>Using isolated fixtures, replay GET /api/staff/events/operations as anonymous, ordinary member, unrelated staff role and wrong owner as applicable. Test every current supported action separately; record authorization differences.</x:v>
      </x:c>
      <x:c r="J420" s="10" t="str">
        <x:v>Authorization matches action-specific grants/ownership/publication; authorized exceptions remain allowed and all unauthorized reads/writes denied without private leakage.</x:v>
      </x:c>
      <x:c r="K420" s="11" t="str"/>
      <x:c r="L420" s="11" t="str">
        <x:v>Not run</x:v>
      </x:c>
      <x:c r="M420" s="11" t="str"/>
      <x:c r="N420" s="11" t="str"/>
      <x:c r="O420" s="11" t="str"/>
      <x:c r="P420" s="11" t="str"/>
      <x:c r="Q420" s="11" t="str"/>
      <x:c r="R420" s="11" t="str"/>
      <x:c r="S420" s="10" t="str">
        <x:v>Role/request matrix + response + unchanged database</x:v>
      </x:c>
      <x:c r="T420" s="10" t="str">
        <x:v>src/app/api/staff/events/operations/route.ts</x:v>
      </x:c>
      <x:c r="U420" s="10" t="str">
        <x:v>Reconcile tagged fixtures; archive/withdraw only owned test publications. Preserve audit/financial history.</x:v>
      </x:c>
      <x:c r="V420" s="12" t="str">
        <x:f>IF(A420="","",IF(L420="Not run","Pending",IF(OR(L420="Blocked",L420="Not deployed",L420="Not applicable"),IF(OR(K420="",R420=""),"Needs explanation","Recorded"),IF(OR(L420="Pass",L420="Fail"),IF(OR(K420="",M420="",P420=""),"Needs result/evidence/build","Recorded"),"Needs valid status"))))</x:f>
        <x:v>Pending</x:v>
      </x:c>
    </x:row>
    <x:row r="421" ht="66" customHeight="1">
      <x:c r="A421" s="10" t="str">
        <x:v>QA-0417</x:v>
      </x:c>
      <x:c r="B421" s="10" t="str">
        <x:v>T. API contract</x:v>
      </x:c>
      <x:c r="C421" s="10" t="str">
        <x:v>POST /api/staff/events/operations</x:v>
      </x:c>
      <x:c r="D421" s="10" t="str">
        <x:v>/api/staff/events/operations</x:v>
      </x:c>
      <x:c r="E421" s="10" t="str">
        <x:v>Technical tester</x:v>
      </x:c>
      <x:c r="F421" s="10" t="str">
        <x:v>P0</x:v>
      </x:c>
      <x:c r="G421" s="10" t="str">
        <x:v>Isolated only</x:v>
      </x:c>
      <x:c r="H421" s="10" t="str">
        <x:v>Isolated app/database; providers disabled or QA allowlist; exact request schema and fixture ID from current source/UI.</x:v>
      </x:c>
      <x:c r="I421" s="10" t="str">
        <x:v>Inspect route and delegated service contract for query/body/allowed actions. Capture a valid request from QA UI, replace dynamic IDs with owned fixture IDs, replay POST /api/staff/events/operations once in isolated environment. Check status/body/headers and exact database/job effects.</x:v>
      </x:c>
      <x:c r="J421" s="10" t="str">
        <x:v>Valid supported request returns documented result; expected mutations only. Public/token endpoints follow their own policy; no assumption of a universal 200/401 response.</x:v>
      </x:c>
      <x:c r="K421" s="11" t="str"/>
      <x:c r="L421" s="11" t="str">
        <x:v>Not run</x:v>
      </x:c>
      <x:c r="M421" s="11" t="str"/>
      <x:c r="N421" s="11" t="str"/>
      <x:c r="O421" s="11" t="str"/>
      <x:c r="P421" s="11" t="str"/>
      <x:c r="Q421" s="11" t="str"/>
      <x:c r="R421" s="11" t="str"/>
      <x:c r="S421" s="10" t="str">
        <x:v>Sanitized HTTP request/response + before/after query</x:v>
      </x:c>
      <x:c r="T421" s="10" t="str">
        <x:v>src/app/api/staff/events/operations/route.ts</x:v>
      </x:c>
      <x:c r="U421" s="10" t="str">
        <x:v>Reconcile tagged fixtures; archive/withdraw only owned test publications. Preserve audit/financial history.</x:v>
      </x:c>
      <x:c r="V421" s="12" t="str">
        <x:f>IF(A421="","",IF(L421="Not run","Pending",IF(OR(L421="Blocked",L421="Not deployed",L421="Not applicable"),IF(OR(K421="",R421=""),"Needs explanation","Recorded"),IF(OR(L421="Pass",L421="Fail"),IF(OR(K421="",M421="",P421=""),"Needs result/evidence/build","Recorded"),"Needs valid status"))))</x:f>
        <x:v>Pending</x:v>
      </x:c>
    </x:row>
    <x:row r="422" ht="52" customHeight="1">
      <x:c r="A422" s="10" t="str">
        <x:v>QA-0418</x:v>
      </x:c>
      <x:c r="B422" s="10" t="str">
        <x:v>T. API contract</x:v>
      </x:c>
      <x:c r="C422" s="10" t="str">
        <x:v>POST boundary: /api/staff/events/operations</x:v>
      </x:c>
      <x:c r="D422" s="10" t="str">
        <x:v>/api/staff/events/operations</x:v>
      </x:c>
      <x:c r="E422" s="10" t="str">
        <x:v>Technical tester</x:v>
      </x:c>
      <x:c r="F422" s="10" t="str">
        <x:v>P0</x:v>
      </x:c>
      <x:c r="G422" s="10" t="str">
        <x:v>Isolated only</x:v>
      </x:c>
      <x:c r="H422" s="10" t="str">
        <x:v>Record deployed build. Use assigned test accounts, synthetic data and approved fixtures/recipients only.</x:v>
      </x:c>
      <x:c r="I422" s="10" t="str">
        <x:v>Using isolated fixtures, replay POST /api/staff/events/operations as anonymous, ordinary member, unrelated staff role and wrong owner as applicable. Test every current supported action separately; record authorization differences.</x:v>
      </x:c>
      <x:c r="J422" s="10" t="str">
        <x:v>Authorization matches action-specific grants/ownership/publication; authorized exceptions remain allowed and all unauthorized reads/writes denied without private leakage.</x:v>
      </x:c>
      <x:c r="K422" s="11" t="str"/>
      <x:c r="L422" s="11" t="str">
        <x:v>Not run</x:v>
      </x:c>
      <x:c r="M422" s="11" t="str"/>
      <x:c r="N422" s="11" t="str"/>
      <x:c r="O422" s="11" t="str"/>
      <x:c r="P422" s="11" t="str"/>
      <x:c r="Q422" s="11" t="str"/>
      <x:c r="R422" s="11" t="str"/>
      <x:c r="S422" s="10" t="str">
        <x:v>Role/request matrix + response + unchanged database</x:v>
      </x:c>
      <x:c r="T422" s="10" t="str">
        <x:v>src/app/api/staff/events/operations/route.ts</x:v>
      </x:c>
      <x:c r="U422" s="10" t="str">
        <x:v>Reconcile tagged fixtures; archive/withdraw only owned test publications. Preserve audit/financial history.</x:v>
      </x:c>
      <x:c r="V422" s="12" t="str">
        <x:f>IF(A422="","",IF(L422="Not run","Pending",IF(OR(L422="Blocked",L422="Not deployed",L422="Not applicable"),IF(OR(K422="",R422=""),"Needs explanation","Recorded"),IF(OR(L422="Pass",L422="Fail"),IF(OR(K422="",M422="",P422=""),"Needs result/evidence/build","Recorded"),"Needs valid status"))))</x:f>
        <x:v>Pending</x:v>
      </x:c>
    </x:row>
    <x:row r="423" ht="66" customHeight="1">
      <x:c r="A423" s="10" t="str">
        <x:v>QA-0419</x:v>
      </x:c>
      <x:c r="B423" s="10" t="str">
        <x:v>T. API contract</x:v>
      </x:c>
      <x:c r="C423" s="10" t="str">
        <x:v>GET /api/staff/events</x:v>
      </x:c>
      <x:c r="D423" s="10" t="str">
        <x:v>/api/staff/events</x:v>
      </x:c>
      <x:c r="E423" s="10" t="str">
        <x:v>Technical tester</x:v>
      </x:c>
      <x:c r="F423" s="10" t="str">
        <x:v>P1</x:v>
      </x:c>
      <x:c r="G423" s="10" t="str">
        <x:v>Isolated only</x:v>
      </x:c>
      <x:c r="H423" s="10" t="str">
        <x:v>Isolated app/database; providers disabled or QA allowlist; exact request schema and fixture ID from current source/UI.</x:v>
      </x:c>
      <x:c r="I423" s="10" t="str">
        <x:v>Inspect route and delegated service contract for query/body/allowed actions. Capture a valid request from QA UI, replace dynamic IDs with owned fixture IDs, replay GET /api/staff/events once in isolated environment. Check status/body/headers and exact database/job effects.</x:v>
      </x:c>
      <x:c r="J423" s="10" t="str">
        <x:v>Valid supported request returns documented result; expected mutations only. Public/token endpoints follow their own policy; no assumption of a universal 200/401 response.</x:v>
      </x:c>
      <x:c r="K423" s="11" t="str"/>
      <x:c r="L423" s="11" t="str">
        <x:v>Not run</x:v>
      </x:c>
      <x:c r="M423" s="11" t="str"/>
      <x:c r="N423" s="11" t="str"/>
      <x:c r="O423" s="11" t="str"/>
      <x:c r="P423" s="11" t="str"/>
      <x:c r="Q423" s="11" t="str"/>
      <x:c r="R423" s="11" t="str"/>
      <x:c r="S423" s="10" t="str">
        <x:v>Sanitized HTTP request/response + before/after query</x:v>
      </x:c>
      <x:c r="T423" s="10" t="str">
        <x:v>src/app/api/staff/events/route.ts</x:v>
      </x:c>
      <x:c r="U423" s="10" t="str">
        <x:v>Reconcile tagged fixtures; archive/withdraw only owned test publications. Preserve audit/financial history.</x:v>
      </x:c>
      <x:c r="V423" s="12" t="str">
        <x:f>IF(A423="","",IF(L423="Not run","Pending",IF(OR(L423="Blocked",L423="Not deployed",L423="Not applicable"),IF(OR(K423="",R423=""),"Needs explanation","Recorded"),IF(OR(L423="Pass",L423="Fail"),IF(OR(K423="",M423="",P423=""),"Needs result/evidence/build","Recorded"),"Needs valid status"))))</x:f>
        <x:v>Pending</x:v>
      </x:c>
    </x:row>
    <x:row r="424" ht="52" customHeight="1">
      <x:c r="A424" s="10" t="str">
        <x:v>QA-0420</x:v>
      </x:c>
      <x:c r="B424" s="10" t="str">
        <x:v>T. API contract</x:v>
      </x:c>
      <x:c r="C424" s="10" t="str">
        <x:v>GET boundary: /api/staff/events</x:v>
      </x:c>
      <x:c r="D424" s="10" t="str">
        <x:v>/api/staff/events</x:v>
      </x:c>
      <x:c r="E424" s="10" t="str">
        <x:v>Technical tester</x:v>
      </x:c>
      <x:c r="F424" s="10" t="str">
        <x:v>P0</x:v>
      </x:c>
      <x:c r="G424" s="10" t="str">
        <x:v>Isolated only</x:v>
      </x:c>
      <x:c r="H424" s="10" t="str">
        <x:v>Record deployed build. Use assigned test accounts, synthetic data and approved fixtures/recipients only.</x:v>
      </x:c>
      <x:c r="I424" s="10" t="str">
        <x:v>Using isolated fixtures, replay GET /api/staff/events as anonymous, ordinary member, unrelated staff role and wrong owner as applicable. Test every current supported action separately; record authorization differences.</x:v>
      </x:c>
      <x:c r="J424" s="10" t="str">
        <x:v>Authorization matches action-specific grants/ownership/publication; authorized exceptions remain allowed and all unauthorized reads/writes denied without private leakage.</x:v>
      </x:c>
      <x:c r="K424" s="11" t="str"/>
      <x:c r="L424" s="11" t="str">
        <x:v>Not run</x:v>
      </x:c>
      <x:c r="M424" s="11" t="str"/>
      <x:c r="N424" s="11" t="str"/>
      <x:c r="O424" s="11" t="str"/>
      <x:c r="P424" s="11" t="str"/>
      <x:c r="Q424" s="11" t="str"/>
      <x:c r="R424" s="11" t="str"/>
      <x:c r="S424" s="10" t="str">
        <x:v>Role/request matrix + response + unchanged database</x:v>
      </x:c>
      <x:c r="T424" s="10" t="str">
        <x:v>src/app/api/staff/events/route.ts</x:v>
      </x:c>
      <x:c r="U424" s="10" t="str">
        <x:v>Reconcile tagged fixtures; archive/withdraw only owned test publications. Preserve audit/financial history.</x:v>
      </x:c>
      <x:c r="V424" s="12" t="str">
        <x:f>IF(A424="","",IF(L424="Not run","Pending",IF(OR(L424="Blocked",L424="Not deployed",L424="Not applicable"),IF(OR(K424="",R424=""),"Needs explanation","Recorded"),IF(OR(L424="Pass",L424="Fail"),IF(OR(K424="",M424="",P424=""),"Needs result/evidence/build","Recorded"),"Needs valid status"))))</x:f>
        <x:v>Pending</x:v>
      </x:c>
    </x:row>
    <x:row r="425" ht="66" customHeight="1">
      <x:c r="A425" s="10" t="str">
        <x:v>QA-0421</x:v>
      </x:c>
      <x:c r="B425" s="10" t="str">
        <x:v>T. API contract</x:v>
      </x:c>
      <x:c r="C425" s="10" t="str">
        <x:v>POST /api/staff/events</x:v>
      </x:c>
      <x:c r="D425" s="10" t="str">
        <x:v>/api/staff/events</x:v>
      </x:c>
      <x:c r="E425" s="10" t="str">
        <x:v>Technical tester</x:v>
      </x:c>
      <x:c r="F425" s="10" t="str">
        <x:v>P0</x:v>
      </x:c>
      <x:c r="G425" s="10" t="str">
        <x:v>Isolated only</x:v>
      </x:c>
      <x:c r="H425" s="10" t="str">
        <x:v>Isolated app/database; providers disabled or QA allowlist; exact request schema and fixture ID from current source/UI.</x:v>
      </x:c>
      <x:c r="I425" s="10" t="str">
        <x:v>Inspect route and delegated service contract for query/body/allowed actions. Capture a valid request from QA UI, replace dynamic IDs with owned fixture IDs, replay POST /api/staff/events once in isolated environment. Check status/body/headers and exact database/job effects.</x:v>
      </x:c>
      <x:c r="J425" s="10" t="str">
        <x:v>Valid supported request returns documented result; expected mutations only. Public/token endpoints follow their own policy; no assumption of a universal 200/401 response.</x:v>
      </x:c>
      <x:c r="K425" s="11" t="str"/>
      <x:c r="L425" s="11" t="str">
        <x:v>Not run</x:v>
      </x:c>
      <x:c r="M425" s="11" t="str"/>
      <x:c r="N425" s="11" t="str"/>
      <x:c r="O425" s="11" t="str"/>
      <x:c r="P425" s="11" t="str"/>
      <x:c r="Q425" s="11" t="str"/>
      <x:c r="R425" s="11" t="str"/>
      <x:c r="S425" s="10" t="str">
        <x:v>Sanitized HTTP request/response + before/after query</x:v>
      </x:c>
      <x:c r="T425" s="10" t="str">
        <x:v>src/app/api/staff/events/route.ts</x:v>
      </x:c>
      <x:c r="U425" s="10" t="str">
        <x:v>Reconcile tagged fixtures; archive/withdraw only owned test publications. Preserve audit/financial history.</x:v>
      </x:c>
      <x:c r="V425" s="12" t="str">
        <x:f>IF(A425="","",IF(L425="Not run","Pending",IF(OR(L425="Blocked",L425="Not deployed",L425="Not applicable"),IF(OR(K425="",R425=""),"Needs explanation","Recorded"),IF(OR(L425="Pass",L425="Fail"),IF(OR(K425="",M425="",P425=""),"Needs result/evidence/build","Recorded"),"Needs valid status"))))</x:f>
        <x:v>Pending</x:v>
      </x:c>
    </x:row>
    <x:row r="426" ht="52" customHeight="1">
      <x:c r="A426" s="10" t="str">
        <x:v>QA-0422</x:v>
      </x:c>
      <x:c r="B426" s="10" t="str">
        <x:v>T. API contract</x:v>
      </x:c>
      <x:c r="C426" s="10" t="str">
        <x:v>POST boundary: /api/staff/events</x:v>
      </x:c>
      <x:c r="D426" s="10" t="str">
        <x:v>/api/staff/events</x:v>
      </x:c>
      <x:c r="E426" s="10" t="str">
        <x:v>Technical tester</x:v>
      </x:c>
      <x:c r="F426" s="10" t="str">
        <x:v>P0</x:v>
      </x:c>
      <x:c r="G426" s="10" t="str">
        <x:v>Isolated only</x:v>
      </x:c>
      <x:c r="H426" s="10" t="str">
        <x:v>Record deployed build. Use assigned test accounts, synthetic data and approved fixtures/recipients only.</x:v>
      </x:c>
      <x:c r="I426" s="10" t="str">
        <x:v>Using isolated fixtures, replay POST /api/staff/events as anonymous, ordinary member, unrelated staff role and wrong owner as applicable. Test every current supported action separately; record authorization differences.</x:v>
      </x:c>
      <x:c r="J426" s="10" t="str">
        <x:v>Authorization matches action-specific grants/ownership/publication; authorized exceptions remain allowed and all unauthorized reads/writes denied without private leakage.</x:v>
      </x:c>
      <x:c r="K426" s="11" t="str"/>
      <x:c r="L426" s="11" t="str">
        <x:v>Not run</x:v>
      </x:c>
      <x:c r="M426" s="11" t="str"/>
      <x:c r="N426" s="11" t="str"/>
      <x:c r="O426" s="11" t="str"/>
      <x:c r="P426" s="11" t="str"/>
      <x:c r="Q426" s="11" t="str"/>
      <x:c r="R426" s="11" t="str"/>
      <x:c r="S426" s="10" t="str">
        <x:v>Role/request matrix + response + unchanged database</x:v>
      </x:c>
      <x:c r="T426" s="10" t="str">
        <x:v>src/app/api/staff/events/route.ts</x:v>
      </x:c>
      <x:c r="U426" s="10" t="str">
        <x:v>Reconcile tagged fixtures; archive/withdraw only owned test publications. Preserve audit/financial history.</x:v>
      </x:c>
      <x:c r="V426" s="12" t="str">
        <x:f>IF(A426="","",IF(L426="Not run","Pending",IF(OR(L426="Blocked",L426="Not deployed",L426="Not applicable"),IF(OR(K426="",R426=""),"Needs explanation","Recorded"),IF(OR(L426="Pass",L426="Fail"),IF(OR(K426="",M426="",P426=""),"Needs result/evidence/build","Recorded"),"Needs valid status"))))</x:f>
        <x:v>Pending</x:v>
      </x:c>
    </x:row>
    <x:row r="427" ht="66" customHeight="1">
      <x:c r="A427" s="10" t="str">
        <x:v>QA-0423</x:v>
      </x:c>
      <x:c r="B427" s="10" t="str">
        <x:v>T. API contract</x:v>
      </x:c>
      <x:c r="C427" s="10" t="str">
        <x:v>GET /api/staff/flyer-variants</x:v>
      </x:c>
      <x:c r="D427" s="10" t="str">
        <x:v>/api/staff/flyer-variants</x:v>
      </x:c>
      <x:c r="E427" s="10" t="str">
        <x:v>Technical tester</x:v>
      </x:c>
      <x:c r="F427" s="10" t="str">
        <x:v>P1</x:v>
      </x:c>
      <x:c r="G427" s="10" t="str">
        <x:v>Isolated only</x:v>
      </x:c>
      <x:c r="H427" s="10" t="str">
        <x:v>Isolated app/database; providers disabled or QA allowlist; exact request schema and fixture ID from current source/UI.</x:v>
      </x:c>
      <x:c r="I427" s="10" t="str">
        <x:v>Inspect route and delegated service contract for query/body/allowed actions. Capture a valid request from QA UI, replace dynamic IDs with owned fixture IDs, replay GET /api/staff/flyer-variants once in isolated environment. Check status/body/headers and exact database/job effects.</x:v>
      </x:c>
      <x:c r="J427" s="10" t="str">
        <x:v>Valid supported request returns documented result; expected mutations only. Public/token endpoints follow their own policy; no assumption of a universal 200/401 response.</x:v>
      </x:c>
      <x:c r="K427" s="11" t="str"/>
      <x:c r="L427" s="11" t="str">
        <x:v>Not run</x:v>
      </x:c>
      <x:c r="M427" s="11" t="str"/>
      <x:c r="N427" s="11" t="str"/>
      <x:c r="O427" s="11" t="str"/>
      <x:c r="P427" s="11" t="str"/>
      <x:c r="Q427" s="11" t="str"/>
      <x:c r="R427" s="11" t="str"/>
      <x:c r="S427" s="10" t="str">
        <x:v>Sanitized HTTP request/response + before/after query</x:v>
      </x:c>
      <x:c r="T427" s="10" t="str">
        <x:v>src/app/api/staff/flyer-variants/route.ts</x:v>
      </x:c>
      <x:c r="U427" s="10" t="str">
        <x:v>Reconcile tagged fixtures; archive/withdraw only owned test publications. Preserve audit/financial history.</x:v>
      </x:c>
      <x:c r="V427" s="12" t="str">
        <x:f>IF(A427="","",IF(L427="Not run","Pending",IF(OR(L427="Blocked",L427="Not deployed",L427="Not applicable"),IF(OR(K427="",R427=""),"Needs explanation","Recorded"),IF(OR(L427="Pass",L427="Fail"),IF(OR(K427="",M427="",P427=""),"Needs result/evidence/build","Recorded"),"Needs valid status"))))</x:f>
        <x:v>Pending</x:v>
      </x:c>
    </x:row>
    <x:row r="428" ht="52" customHeight="1">
      <x:c r="A428" s="10" t="str">
        <x:v>QA-0424</x:v>
      </x:c>
      <x:c r="B428" s="10" t="str">
        <x:v>T. API contract</x:v>
      </x:c>
      <x:c r="C428" s="10" t="str">
        <x:v>GET boundary: /api/staff/flyer-variants</x:v>
      </x:c>
      <x:c r="D428" s="10" t="str">
        <x:v>/api/staff/flyer-variants</x:v>
      </x:c>
      <x:c r="E428" s="10" t="str">
        <x:v>Technical tester</x:v>
      </x:c>
      <x:c r="F428" s="10" t="str">
        <x:v>P0</x:v>
      </x:c>
      <x:c r="G428" s="10" t="str">
        <x:v>Isolated only</x:v>
      </x:c>
      <x:c r="H428" s="10" t="str">
        <x:v>Record deployed build. Use assigned test accounts, synthetic data and approved fixtures/recipients only.</x:v>
      </x:c>
      <x:c r="I428" s="10" t="str">
        <x:v>Using isolated fixtures, replay GET /api/staff/flyer-variants as anonymous, ordinary member, unrelated staff role and wrong owner as applicable. Test every current supported action separately; record authorization differences.</x:v>
      </x:c>
      <x:c r="J428" s="10" t="str">
        <x:v>Authorization matches action-specific grants/ownership/publication; authorized exceptions remain allowed and all unauthorized reads/writes denied without private leakage.</x:v>
      </x:c>
      <x:c r="K428" s="11" t="str"/>
      <x:c r="L428" s="11" t="str">
        <x:v>Not run</x:v>
      </x:c>
      <x:c r="M428" s="11" t="str"/>
      <x:c r="N428" s="11" t="str"/>
      <x:c r="O428" s="11" t="str"/>
      <x:c r="P428" s="11" t="str"/>
      <x:c r="Q428" s="11" t="str"/>
      <x:c r="R428" s="11" t="str"/>
      <x:c r="S428" s="10" t="str">
        <x:v>Role/request matrix + response + unchanged database</x:v>
      </x:c>
      <x:c r="T428" s="10" t="str">
        <x:v>src/app/api/staff/flyer-variants/route.ts</x:v>
      </x:c>
      <x:c r="U428" s="10" t="str">
        <x:v>Reconcile tagged fixtures; archive/withdraw only owned test publications. Preserve audit/financial history.</x:v>
      </x:c>
      <x:c r="V428" s="12" t="str">
        <x:f>IF(A428="","",IF(L428="Not run","Pending",IF(OR(L428="Blocked",L428="Not deployed",L428="Not applicable"),IF(OR(K428="",R428=""),"Needs explanation","Recorded"),IF(OR(L428="Pass",L428="Fail"),IF(OR(K428="",M428="",P428=""),"Needs result/evidence/build","Recorded"),"Needs valid status"))))</x:f>
        <x:v>Pending</x:v>
      </x:c>
    </x:row>
    <x:row r="429" ht="66" customHeight="1">
      <x:c r="A429" s="10" t="str">
        <x:v>QA-0425</x:v>
      </x:c>
      <x:c r="B429" s="10" t="str">
        <x:v>T. API contract</x:v>
      </x:c>
      <x:c r="C429" s="10" t="str">
        <x:v>POST /api/staff/flyer-variants</x:v>
      </x:c>
      <x:c r="D429" s="10" t="str">
        <x:v>/api/staff/flyer-variants</x:v>
      </x:c>
      <x:c r="E429" s="10" t="str">
        <x:v>Technical tester</x:v>
      </x:c>
      <x:c r="F429" s="10" t="str">
        <x:v>P0</x:v>
      </x:c>
      <x:c r="G429" s="10" t="str">
        <x:v>Isolated only</x:v>
      </x:c>
      <x:c r="H429" s="10" t="str">
        <x:v>Isolated app/database; providers disabled or QA allowlist; exact request schema and fixture ID from current source/UI.</x:v>
      </x:c>
      <x:c r="I429" s="10" t="str">
        <x:v>Inspect route and delegated service contract for query/body/allowed actions. Capture a valid request from QA UI, replace dynamic IDs with owned fixture IDs, replay POST /api/staff/flyer-variants once in isolated environment. Check status/body/headers and exact database/job effects.</x:v>
      </x:c>
      <x:c r="J429" s="10" t="str">
        <x:v>Valid supported request returns documented result; expected mutations only. Public/token endpoints follow their own policy; no assumption of a universal 200/401 response.</x:v>
      </x:c>
      <x:c r="K429" s="11" t="str"/>
      <x:c r="L429" s="11" t="str">
        <x:v>Not run</x:v>
      </x:c>
      <x:c r="M429" s="11" t="str"/>
      <x:c r="N429" s="11" t="str"/>
      <x:c r="O429" s="11" t="str"/>
      <x:c r="P429" s="11" t="str"/>
      <x:c r="Q429" s="11" t="str"/>
      <x:c r="R429" s="11" t="str"/>
      <x:c r="S429" s="10" t="str">
        <x:v>Sanitized HTTP request/response + before/after query</x:v>
      </x:c>
      <x:c r="T429" s="10" t="str">
        <x:v>src/app/api/staff/flyer-variants/route.ts</x:v>
      </x:c>
      <x:c r="U429" s="10" t="str">
        <x:v>Reconcile tagged fixtures; archive/withdraw only owned test publications. Preserve audit/financial history.</x:v>
      </x:c>
      <x:c r="V429" s="12" t="str">
        <x:f>IF(A429="","",IF(L429="Not run","Pending",IF(OR(L429="Blocked",L429="Not deployed",L429="Not applicable"),IF(OR(K429="",R429=""),"Needs explanation","Recorded"),IF(OR(L429="Pass",L429="Fail"),IF(OR(K429="",M429="",P429=""),"Needs result/evidence/build","Recorded"),"Needs valid status"))))</x:f>
        <x:v>Pending</x:v>
      </x:c>
    </x:row>
    <x:row r="430" ht="52" customHeight="1">
      <x:c r="A430" s="10" t="str">
        <x:v>QA-0426</x:v>
      </x:c>
      <x:c r="B430" s="10" t="str">
        <x:v>T. API contract</x:v>
      </x:c>
      <x:c r="C430" s="10" t="str">
        <x:v>POST boundary: /api/staff/flyer-variants</x:v>
      </x:c>
      <x:c r="D430" s="10" t="str">
        <x:v>/api/staff/flyer-variants</x:v>
      </x:c>
      <x:c r="E430" s="10" t="str">
        <x:v>Technical tester</x:v>
      </x:c>
      <x:c r="F430" s="10" t="str">
        <x:v>P0</x:v>
      </x:c>
      <x:c r="G430" s="10" t="str">
        <x:v>Isolated only</x:v>
      </x:c>
      <x:c r="H430" s="10" t="str">
        <x:v>Record deployed build. Use assigned test accounts, synthetic data and approved fixtures/recipients only.</x:v>
      </x:c>
      <x:c r="I430" s="10" t="str">
        <x:v>Using isolated fixtures, replay POST /api/staff/flyer-variants as anonymous, ordinary member, unrelated staff role and wrong owner as applicable. Test every current supported action separately; record authorization differences.</x:v>
      </x:c>
      <x:c r="J430" s="10" t="str">
        <x:v>Authorization matches action-specific grants/ownership/publication; authorized exceptions remain allowed and all unauthorized reads/writes denied without private leakage.</x:v>
      </x:c>
      <x:c r="K430" s="11" t="str"/>
      <x:c r="L430" s="11" t="str">
        <x:v>Not run</x:v>
      </x:c>
      <x:c r="M430" s="11" t="str"/>
      <x:c r="N430" s="11" t="str"/>
      <x:c r="O430" s="11" t="str"/>
      <x:c r="P430" s="11" t="str"/>
      <x:c r="Q430" s="11" t="str"/>
      <x:c r="R430" s="11" t="str"/>
      <x:c r="S430" s="10" t="str">
        <x:v>Role/request matrix + response + unchanged database</x:v>
      </x:c>
      <x:c r="T430" s="10" t="str">
        <x:v>src/app/api/staff/flyer-variants/route.ts</x:v>
      </x:c>
      <x:c r="U430" s="10" t="str">
        <x:v>Reconcile tagged fixtures; archive/withdraw only owned test publications. Preserve audit/financial history.</x:v>
      </x:c>
      <x:c r="V430" s="12" t="str">
        <x:f>IF(A430="","",IF(L430="Not run","Pending",IF(OR(L430="Blocked",L430="Not deployed",L430="Not applicable"),IF(OR(K430="",R430=""),"Needs explanation","Recorded"),IF(OR(L430="Pass",L430="Fail"),IF(OR(K430="",M430="",P430=""),"Needs result/evidence/build","Recorded"),"Needs valid status"))))</x:f>
        <x:v>Pending</x:v>
      </x:c>
    </x:row>
    <x:row r="431" ht="66" customHeight="1">
      <x:c r="A431" s="10" t="str">
        <x:v>QA-0427</x:v>
      </x:c>
      <x:c r="B431" s="10" t="str">
        <x:v>T. API contract</x:v>
      </x:c>
      <x:c r="C431" s="10" t="str">
        <x:v>GET /api/staff/flyers</x:v>
      </x:c>
      <x:c r="D431" s="10" t="str">
        <x:v>/api/staff/flyers</x:v>
      </x:c>
      <x:c r="E431" s="10" t="str">
        <x:v>Technical tester</x:v>
      </x:c>
      <x:c r="F431" s="10" t="str">
        <x:v>P1</x:v>
      </x:c>
      <x:c r="G431" s="10" t="str">
        <x:v>Isolated only</x:v>
      </x:c>
      <x:c r="H431" s="10" t="str">
        <x:v>Isolated app/database; providers disabled or QA allowlist; exact request schema and fixture ID from current source/UI.</x:v>
      </x:c>
      <x:c r="I431" s="10" t="str">
        <x:v>Inspect route and delegated service contract for query/body/allowed actions. Capture a valid request from QA UI, replace dynamic IDs with owned fixture IDs, replay GET /api/staff/flyers once in isolated environment. Check status/body/headers and exact database/job effects.</x:v>
      </x:c>
      <x:c r="J431" s="10" t="str">
        <x:v>Valid supported request returns documented result; expected mutations only. Public/token endpoints follow their own policy; no assumption of a universal 200/401 response.</x:v>
      </x:c>
      <x:c r="K431" s="11" t="str"/>
      <x:c r="L431" s="11" t="str">
        <x:v>Not run</x:v>
      </x:c>
      <x:c r="M431" s="11" t="str"/>
      <x:c r="N431" s="11" t="str"/>
      <x:c r="O431" s="11" t="str"/>
      <x:c r="P431" s="11" t="str"/>
      <x:c r="Q431" s="11" t="str"/>
      <x:c r="R431" s="11" t="str"/>
      <x:c r="S431" s="10" t="str">
        <x:v>Sanitized HTTP request/response + before/after query</x:v>
      </x:c>
      <x:c r="T431" s="10" t="str">
        <x:v>src/app/api/staff/flyers/route.ts</x:v>
      </x:c>
      <x:c r="U431" s="10" t="str">
        <x:v>Reconcile tagged fixtures; archive/withdraw only owned test publications. Preserve audit/financial history.</x:v>
      </x:c>
      <x:c r="V431" s="12" t="str">
        <x:f>IF(A431="","",IF(L431="Not run","Pending",IF(OR(L431="Blocked",L431="Not deployed",L431="Not applicable"),IF(OR(K431="",R431=""),"Needs explanation","Recorded"),IF(OR(L431="Pass",L431="Fail"),IF(OR(K431="",M431="",P431=""),"Needs result/evidence/build","Recorded"),"Needs valid status"))))</x:f>
        <x:v>Pending</x:v>
      </x:c>
    </x:row>
    <x:row r="432" ht="52" customHeight="1">
      <x:c r="A432" s="10" t="str">
        <x:v>QA-0428</x:v>
      </x:c>
      <x:c r="B432" s="10" t="str">
        <x:v>T. API contract</x:v>
      </x:c>
      <x:c r="C432" s="10" t="str">
        <x:v>GET boundary: /api/staff/flyers</x:v>
      </x:c>
      <x:c r="D432" s="10" t="str">
        <x:v>/api/staff/flyers</x:v>
      </x:c>
      <x:c r="E432" s="10" t="str">
        <x:v>Technical tester</x:v>
      </x:c>
      <x:c r="F432" s="10" t="str">
        <x:v>P0</x:v>
      </x:c>
      <x:c r="G432" s="10" t="str">
        <x:v>Isolated only</x:v>
      </x:c>
      <x:c r="H432" s="10" t="str">
        <x:v>Record deployed build. Use assigned test accounts, synthetic data and approved fixtures/recipients only.</x:v>
      </x:c>
      <x:c r="I432" s="10" t="str">
        <x:v>Using isolated fixtures, replay GET /api/staff/flyers as anonymous, ordinary member, unrelated staff role and wrong owner as applicable. Test every current supported action separately; record authorization differences.</x:v>
      </x:c>
      <x:c r="J432" s="10" t="str">
        <x:v>Authorization matches action-specific grants/ownership/publication; authorized exceptions remain allowed and all unauthorized reads/writes denied without private leakage.</x:v>
      </x:c>
      <x:c r="K432" s="11" t="str"/>
      <x:c r="L432" s="11" t="str">
        <x:v>Not run</x:v>
      </x:c>
      <x:c r="M432" s="11" t="str"/>
      <x:c r="N432" s="11" t="str"/>
      <x:c r="O432" s="11" t="str"/>
      <x:c r="P432" s="11" t="str"/>
      <x:c r="Q432" s="11" t="str"/>
      <x:c r="R432" s="11" t="str"/>
      <x:c r="S432" s="10" t="str">
        <x:v>Role/request matrix + response + unchanged database</x:v>
      </x:c>
      <x:c r="T432" s="10" t="str">
        <x:v>src/app/api/staff/flyers/route.ts</x:v>
      </x:c>
      <x:c r="U432" s="10" t="str">
        <x:v>Reconcile tagged fixtures; archive/withdraw only owned test publications. Preserve audit/financial history.</x:v>
      </x:c>
      <x:c r="V432" s="12" t="str">
        <x:f>IF(A432="","",IF(L432="Not run","Pending",IF(OR(L432="Blocked",L432="Not deployed",L432="Not applicable"),IF(OR(K432="",R432=""),"Needs explanation","Recorded"),IF(OR(L432="Pass",L432="Fail"),IF(OR(K432="",M432="",P432=""),"Needs result/evidence/build","Recorded"),"Needs valid status"))))</x:f>
        <x:v>Pending</x:v>
      </x:c>
    </x:row>
    <x:row r="433" ht="66" customHeight="1">
      <x:c r="A433" s="10" t="str">
        <x:v>QA-0429</x:v>
      </x:c>
      <x:c r="B433" s="10" t="str">
        <x:v>T. API contract</x:v>
      </x:c>
      <x:c r="C433" s="10" t="str">
        <x:v>POST /api/staff/flyers</x:v>
      </x:c>
      <x:c r="D433" s="10" t="str">
        <x:v>/api/staff/flyers</x:v>
      </x:c>
      <x:c r="E433" s="10" t="str">
        <x:v>Technical tester</x:v>
      </x:c>
      <x:c r="F433" s="10" t="str">
        <x:v>P0</x:v>
      </x:c>
      <x:c r="G433" s="10" t="str">
        <x:v>Isolated only</x:v>
      </x:c>
      <x:c r="H433" s="10" t="str">
        <x:v>Isolated app/database; providers disabled or QA allowlist; exact request schema and fixture ID from current source/UI.</x:v>
      </x:c>
      <x:c r="I433" s="10" t="str">
        <x:v>Inspect route and delegated service contract for query/body/allowed actions. Capture a valid request from QA UI, replace dynamic IDs with owned fixture IDs, replay POST /api/staff/flyers once in isolated environment. Check status/body/headers and exact database/job effects.</x:v>
      </x:c>
      <x:c r="J433" s="10" t="str">
        <x:v>Valid supported request returns documented result; expected mutations only. Public/token endpoints follow their own policy; no assumption of a universal 200/401 response.</x:v>
      </x:c>
      <x:c r="K433" s="11" t="str"/>
      <x:c r="L433" s="11" t="str">
        <x:v>Not run</x:v>
      </x:c>
      <x:c r="M433" s="11" t="str"/>
      <x:c r="N433" s="11" t="str"/>
      <x:c r="O433" s="11" t="str"/>
      <x:c r="P433" s="11" t="str"/>
      <x:c r="Q433" s="11" t="str"/>
      <x:c r="R433" s="11" t="str"/>
      <x:c r="S433" s="10" t="str">
        <x:v>Sanitized HTTP request/response + before/after query</x:v>
      </x:c>
      <x:c r="T433" s="10" t="str">
        <x:v>src/app/api/staff/flyers/route.ts</x:v>
      </x:c>
      <x:c r="U433" s="10" t="str">
        <x:v>Reconcile tagged fixtures; archive/withdraw only owned test publications. Preserve audit/financial history.</x:v>
      </x:c>
      <x:c r="V433" s="12" t="str">
        <x:f>IF(A433="","",IF(L433="Not run","Pending",IF(OR(L433="Blocked",L433="Not deployed",L433="Not applicable"),IF(OR(K433="",R433=""),"Needs explanation","Recorded"),IF(OR(L433="Pass",L433="Fail"),IF(OR(K433="",M433="",P433=""),"Needs result/evidence/build","Recorded"),"Needs valid status"))))</x:f>
        <x:v>Pending</x:v>
      </x:c>
    </x:row>
    <x:row r="434" ht="52" customHeight="1">
      <x:c r="A434" s="10" t="str">
        <x:v>QA-0430</x:v>
      </x:c>
      <x:c r="B434" s="10" t="str">
        <x:v>T. API contract</x:v>
      </x:c>
      <x:c r="C434" s="10" t="str">
        <x:v>POST boundary: /api/staff/flyers</x:v>
      </x:c>
      <x:c r="D434" s="10" t="str">
        <x:v>/api/staff/flyers</x:v>
      </x:c>
      <x:c r="E434" s="10" t="str">
        <x:v>Technical tester</x:v>
      </x:c>
      <x:c r="F434" s="10" t="str">
        <x:v>P0</x:v>
      </x:c>
      <x:c r="G434" s="10" t="str">
        <x:v>Isolated only</x:v>
      </x:c>
      <x:c r="H434" s="10" t="str">
        <x:v>Record deployed build. Use assigned test accounts, synthetic data and approved fixtures/recipients only.</x:v>
      </x:c>
      <x:c r="I434" s="10" t="str">
        <x:v>Using isolated fixtures, replay POST /api/staff/flyers as anonymous, ordinary member, unrelated staff role and wrong owner as applicable. Test every current supported action separately; record authorization differences.</x:v>
      </x:c>
      <x:c r="J434" s="10" t="str">
        <x:v>Authorization matches action-specific grants/ownership/publication; authorized exceptions remain allowed and all unauthorized reads/writes denied without private leakage.</x:v>
      </x:c>
      <x:c r="K434" s="11" t="str"/>
      <x:c r="L434" s="11" t="str">
        <x:v>Not run</x:v>
      </x:c>
      <x:c r="M434" s="11" t="str"/>
      <x:c r="N434" s="11" t="str"/>
      <x:c r="O434" s="11" t="str"/>
      <x:c r="P434" s="11" t="str"/>
      <x:c r="Q434" s="11" t="str"/>
      <x:c r="R434" s="11" t="str"/>
      <x:c r="S434" s="10" t="str">
        <x:v>Role/request matrix + response + unchanged database</x:v>
      </x:c>
      <x:c r="T434" s="10" t="str">
        <x:v>src/app/api/staff/flyers/route.ts</x:v>
      </x:c>
      <x:c r="U434" s="10" t="str">
        <x:v>Reconcile tagged fixtures; archive/withdraw only owned test publications. Preserve audit/financial history.</x:v>
      </x:c>
      <x:c r="V434" s="12" t="str">
        <x:f>IF(A434="","",IF(L434="Not run","Pending",IF(OR(L434="Blocked",L434="Not deployed",L434="Not applicable"),IF(OR(K434="",R434=""),"Needs explanation","Recorded"),IF(OR(L434="Pass",L434="Fail"),IF(OR(K434="",M434="",P434=""),"Needs result/evidence/build","Recorded"),"Needs valid status"))))</x:f>
        <x:v>Pending</x:v>
      </x:c>
    </x:row>
    <x:row r="435" ht="66" customHeight="1">
      <x:c r="A435" s="10" t="str">
        <x:v>QA-0431</x:v>
      </x:c>
      <x:c r="B435" s="10" t="str">
        <x:v>T. API contract</x:v>
      </x:c>
      <x:c r="C435" s="10" t="str">
        <x:v>GET /api/staff/governance/preview</x:v>
      </x:c>
      <x:c r="D435" s="10" t="str">
        <x:v>/api/staff/governance/preview</x:v>
      </x:c>
      <x:c r="E435" s="10" t="str">
        <x:v>Technical tester</x:v>
      </x:c>
      <x:c r="F435" s="10" t="str">
        <x:v>P1</x:v>
      </x:c>
      <x:c r="G435" s="10" t="str">
        <x:v>Isolated only</x:v>
      </x:c>
      <x:c r="H435" s="10" t="str">
        <x:v>Isolated app/database; providers disabled or QA allowlist; exact request schema and fixture ID from current source/UI.</x:v>
      </x:c>
      <x:c r="I435" s="10" t="str">
        <x:v>Inspect route and delegated service contract for query/body/allowed actions. Capture a valid request from QA UI, replace dynamic IDs with owned fixture IDs, replay GET /api/staff/governance/preview once in isolated environment. Check status/body/headers and exact database/job effects.</x:v>
      </x:c>
      <x:c r="J435" s="10" t="str">
        <x:v>Valid supported request returns documented result; expected mutations only. Public/token endpoints follow their own policy; no assumption of a universal 200/401 response.</x:v>
      </x:c>
      <x:c r="K435" s="11" t="str"/>
      <x:c r="L435" s="11" t="str">
        <x:v>Not run</x:v>
      </x:c>
      <x:c r="M435" s="11" t="str"/>
      <x:c r="N435" s="11" t="str"/>
      <x:c r="O435" s="11" t="str"/>
      <x:c r="P435" s="11" t="str"/>
      <x:c r="Q435" s="11" t="str"/>
      <x:c r="R435" s="11" t="str"/>
      <x:c r="S435" s="10" t="str">
        <x:v>Sanitized HTTP request/response + before/after query</x:v>
      </x:c>
      <x:c r="T435" s="10" t="str">
        <x:v>src/app/api/staff/governance/preview/route.ts</x:v>
      </x:c>
      <x:c r="U435" s="10" t="str">
        <x:v>Reconcile tagged fixtures; archive/withdraw only owned test publications. Preserve audit/financial history.</x:v>
      </x:c>
      <x:c r="V435" s="12" t="str">
        <x:f>IF(A435="","",IF(L435="Not run","Pending",IF(OR(L435="Blocked",L435="Not deployed",L435="Not applicable"),IF(OR(K435="",R435=""),"Needs explanation","Recorded"),IF(OR(L435="Pass",L435="Fail"),IF(OR(K435="",M435="",P435=""),"Needs result/evidence/build","Recorded"),"Needs valid status"))))</x:f>
        <x:v>Pending</x:v>
      </x:c>
    </x:row>
    <x:row r="436" ht="52" customHeight="1">
      <x:c r="A436" s="10" t="str">
        <x:v>QA-0432</x:v>
      </x:c>
      <x:c r="B436" s="10" t="str">
        <x:v>T. API contract</x:v>
      </x:c>
      <x:c r="C436" s="10" t="str">
        <x:v>GET boundary: /api/staff/governance/preview</x:v>
      </x:c>
      <x:c r="D436" s="10" t="str">
        <x:v>/api/staff/governance/preview</x:v>
      </x:c>
      <x:c r="E436" s="10" t="str">
        <x:v>Technical tester</x:v>
      </x:c>
      <x:c r="F436" s="10" t="str">
        <x:v>P0</x:v>
      </x:c>
      <x:c r="G436" s="10" t="str">
        <x:v>Isolated only</x:v>
      </x:c>
      <x:c r="H436" s="10" t="str">
        <x:v>Record deployed build. Use assigned test accounts, synthetic data and approved fixtures/recipients only.</x:v>
      </x:c>
      <x:c r="I436" s="10" t="str">
        <x:v>Using isolated fixtures, replay GET /api/staff/governance/preview as anonymous, ordinary member, unrelated staff role and wrong owner as applicable. Test every current supported action separately; record authorization differences.</x:v>
      </x:c>
      <x:c r="J436" s="10" t="str">
        <x:v>Authorization matches action-specific grants/ownership/publication; authorized exceptions remain allowed and all unauthorized reads/writes denied without private leakage.</x:v>
      </x:c>
      <x:c r="K436" s="11" t="str"/>
      <x:c r="L436" s="11" t="str">
        <x:v>Not run</x:v>
      </x:c>
      <x:c r="M436" s="11" t="str"/>
      <x:c r="N436" s="11" t="str"/>
      <x:c r="O436" s="11" t="str"/>
      <x:c r="P436" s="11" t="str"/>
      <x:c r="Q436" s="11" t="str"/>
      <x:c r="R436" s="11" t="str"/>
      <x:c r="S436" s="10" t="str">
        <x:v>Role/request matrix + response + unchanged database</x:v>
      </x:c>
      <x:c r="T436" s="10" t="str">
        <x:v>src/app/api/staff/governance/preview/route.ts</x:v>
      </x:c>
      <x:c r="U436" s="10" t="str">
        <x:v>Reconcile tagged fixtures; archive/withdraw only owned test publications. Preserve audit/financial history.</x:v>
      </x:c>
      <x:c r="V436" s="12" t="str">
        <x:f>IF(A436="","",IF(L436="Not run","Pending",IF(OR(L436="Blocked",L436="Not deployed",L436="Not applicable"),IF(OR(K436="",R436=""),"Needs explanation","Recorded"),IF(OR(L436="Pass",L436="Fail"),IF(OR(K436="",M436="",P436=""),"Needs result/evidence/build","Recorded"),"Needs valid status"))))</x:f>
        <x:v>Pending</x:v>
      </x:c>
    </x:row>
    <x:row r="437" ht="66" customHeight="1">
      <x:c r="A437" s="10" t="str">
        <x:v>QA-0433</x:v>
      </x:c>
      <x:c r="B437" s="10" t="str">
        <x:v>T. API contract</x:v>
      </x:c>
      <x:c r="C437" s="10" t="str">
        <x:v>GET /api/staff/governance</x:v>
      </x:c>
      <x:c r="D437" s="10" t="str">
        <x:v>/api/staff/governance</x:v>
      </x:c>
      <x:c r="E437" s="10" t="str">
        <x:v>Technical tester</x:v>
      </x:c>
      <x:c r="F437" s="10" t="str">
        <x:v>P1</x:v>
      </x:c>
      <x:c r="G437" s="10" t="str">
        <x:v>Isolated only</x:v>
      </x:c>
      <x:c r="H437" s="10" t="str">
        <x:v>Isolated app/database; providers disabled or QA allowlist; exact request schema and fixture ID from current source/UI.</x:v>
      </x:c>
      <x:c r="I437" s="10" t="str">
        <x:v>Inspect route and delegated service contract for query/body/allowed actions. Capture a valid request from QA UI, replace dynamic IDs with owned fixture IDs, replay GET /api/staff/governance once in isolated environment. Check status/body/headers and exact database/job effects.</x:v>
      </x:c>
      <x:c r="J437" s="10" t="str">
        <x:v>Valid supported request returns documented result; expected mutations only. Public/token endpoints follow their own policy; no assumption of a universal 200/401 response.</x:v>
      </x:c>
      <x:c r="K437" s="11" t="str"/>
      <x:c r="L437" s="11" t="str">
        <x:v>Not run</x:v>
      </x:c>
      <x:c r="M437" s="11" t="str"/>
      <x:c r="N437" s="11" t="str"/>
      <x:c r="O437" s="11" t="str"/>
      <x:c r="P437" s="11" t="str"/>
      <x:c r="Q437" s="11" t="str"/>
      <x:c r="R437" s="11" t="str"/>
      <x:c r="S437" s="10" t="str">
        <x:v>Sanitized HTTP request/response + before/after query</x:v>
      </x:c>
      <x:c r="T437" s="10" t="str">
        <x:v>src/app/api/staff/governance/route.ts</x:v>
      </x:c>
      <x:c r="U437" s="10" t="str">
        <x:v>Reconcile tagged fixtures; archive/withdraw only owned test publications. Preserve audit/financial history.</x:v>
      </x:c>
      <x:c r="V437" s="12" t="str">
        <x:f>IF(A437="","",IF(L437="Not run","Pending",IF(OR(L437="Blocked",L437="Not deployed",L437="Not applicable"),IF(OR(K437="",R437=""),"Needs explanation","Recorded"),IF(OR(L437="Pass",L437="Fail"),IF(OR(K437="",M437="",P437=""),"Needs result/evidence/build","Recorded"),"Needs valid status"))))</x:f>
        <x:v>Pending</x:v>
      </x:c>
    </x:row>
    <x:row r="438" ht="52" customHeight="1">
      <x:c r="A438" s="10" t="str">
        <x:v>QA-0434</x:v>
      </x:c>
      <x:c r="B438" s="10" t="str">
        <x:v>T. API contract</x:v>
      </x:c>
      <x:c r="C438" s="10" t="str">
        <x:v>GET boundary: /api/staff/governance</x:v>
      </x:c>
      <x:c r="D438" s="10" t="str">
        <x:v>/api/staff/governance</x:v>
      </x:c>
      <x:c r="E438" s="10" t="str">
        <x:v>Technical tester</x:v>
      </x:c>
      <x:c r="F438" s="10" t="str">
        <x:v>P0</x:v>
      </x:c>
      <x:c r="G438" s="10" t="str">
        <x:v>Isolated only</x:v>
      </x:c>
      <x:c r="H438" s="10" t="str">
        <x:v>Record deployed build. Use assigned test accounts, synthetic data and approved fixtures/recipients only.</x:v>
      </x:c>
      <x:c r="I438" s="10" t="str">
        <x:v>Using isolated fixtures, replay GET /api/staff/governance as anonymous, ordinary member, unrelated staff role and wrong owner as applicable. Test every current supported action separately; record authorization differences.</x:v>
      </x:c>
      <x:c r="J438" s="10" t="str">
        <x:v>Authorization matches action-specific grants/ownership/publication; authorized exceptions remain allowed and all unauthorized reads/writes denied without private leakage.</x:v>
      </x:c>
      <x:c r="K438" s="11" t="str"/>
      <x:c r="L438" s="11" t="str">
        <x:v>Not run</x:v>
      </x:c>
      <x:c r="M438" s="11" t="str"/>
      <x:c r="N438" s="11" t="str"/>
      <x:c r="O438" s="11" t="str"/>
      <x:c r="P438" s="11" t="str"/>
      <x:c r="Q438" s="11" t="str"/>
      <x:c r="R438" s="11" t="str"/>
      <x:c r="S438" s="10" t="str">
        <x:v>Role/request matrix + response + unchanged database</x:v>
      </x:c>
      <x:c r="T438" s="10" t="str">
        <x:v>src/app/api/staff/governance/route.ts</x:v>
      </x:c>
      <x:c r="U438" s="10" t="str">
        <x:v>Reconcile tagged fixtures; archive/withdraw only owned test publications. Preserve audit/financial history.</x:v>
      </x:c>
      <x:c r="V438" s="12" t="str">
        <x:f>IF(A438="","",IF(L438="Not run","Pending",IF(OR(L438="Blocked",L438="Not deployed",L438="Not applicable"),IF(OR(K438="",R438=""),"Needs explanation","Recorded"),IF(OR(L438="Pass",L438="Fail"),IF(OR(K438="",M438="",P438=""),"Needs result/evidence/build","Recorded"),"Needs valid status"))))</x:f>
        <x:v>Pending</x:v>
      </x:c>
    </x:row>
    <x:row r="439" ht="66" customHeight="1">
      <x:c r="A439" s="10" t="str">
        <x:v>QA-0435</x:v>
      </x:c>
      <x:c r="B439" s="10" t="str">
        <x:v>T. API contract</x:v>
      </x:c>
      <x:c r="C439" s="10" t="str">
        <x:v>POST /api/staff/governance</x:v>
      </x:c>
      <x:c r="D439" s="10" t="str">
        <x:v>/api/staff/governance</x:v>
      </x:c>
      <x:c r="E439" s="10" t="str">
        <x:v>Technical tester</x:v>
      </x:c>
      <x:c r="F439" s="10" t="str">
        <x:v>P0</x:v>
      </x:c>
      <x:c r="G439" s="10" t="str">
        <x:v>Isolated only</x:v>
      </x:c>
      <x:c r="H439" s="10" t="str">
        <x:v>Isolated app/database; providers disabled or QA allowlist; exact request schema and fixture ID from current source/UI.</x:v>
      </x:c>
      <x:c r="I439" s="10" t="str">
        <x:v>Inspect route and delegated service contract for query/body/allowed actions. Capture a valid request from QA UI, replace dynamic IDs with owned fixture IDs, replay POST /api/staff/governance once in isolated environment. Check status/body/headers and exact database/job effects.</x:v>
      </x:c>
      <x:c r="J439" s="10" t="str">
        <x:v>Valid supported request returns documented result; expected mutations only. Public/token endpoints follow their own policy; no assumption of a universal 200/401 response.</x:v>
      </x:c>
      <x:c r="K439" s="11" t="str"/>
      <x:c r="L439" s="11" t="str">
        <x:v>Not run</x:v>
      </x:c>
      <x:c r="M439" s="11" t="str"/>
      <x:c r="N439" s="11" t="str"/>
      <x:c r="O439" s="11" t="str"/>
      <x:c r="P439" s="11" t="str"/>
      <x:c r="Q439" s="11" t="str"/>
      <x:c r="R439" s="11" t="str"/>
      <x:c r="S439" s="10" t="str">
        <x:v>Sanitized HTTP request/response + before/after query</x:v>
      </x:c>
      <x:c r="T439" s="10" t="str">
        <x:v>src/app/api/staff/governance/route.ts</x:v>
      </x:c>
      <x:c r="U439" s="10" t="str">
        <x:v>Reconcile tagged fixtures; archive/withdraw only owned test publications. Preserve audit/financial history.</x:v>
      </x:c>
      <x:c r="V439" s="12" t="str">
        <x:f>IF(A439="","",IF(L439="Not run","Pending",IF(OR(L439="Blocked",L439="Not deployed",L439="Not applicable"),IF(OR(K439="",R439=""),"Needs explanation","Recorded"),IF(OR(L439="Pass",L439="Fail"),IF(OR(K439="",M439="",P439=""),"Needs result/evidence/build","Recorded"),"Needs valid status"))))</x:f>
        <x:v>Pending</x:v>
      </x:c>
    </x:row>
    <x:row r="440" ht="52" customHeight="1">
      <x:c r="A440" s="10" t="str">
        <x:v>QA-0436</x:v>
      </x:c>
      <x:c r="B440" s="10" t="str">
        <x:v>T. API contract</x:v>
      </x:c>
      <x:c r="C440" s="10" t="str">
        <x:v>POST boundary: /api/staff/governance</x:v>
      </x:c>
      <x:c r="D440" s="10" t="str">
        <x:v>/api/staff/governance</x:v>
      </x:c>
      <x:c r="E440" s="10" t="str">
        <x:v>Technical tester</x:v>
      </x:c>
      <x:c r="F440" s="10" t="str">
        <x:v>P0</x:v>
      </x:c>
      <x:c r="G440" s="10" t="str">
        <x:v>Isolated only</x:v>
      </x:c>
      <x:c r="H440" s="10" t="str">
        <x:v>Record deployed build. Use assigned test accounts, synthetic data and approved fixtures/recipients only.</x:v>
      </x:c>
      <x:c r="I440" s="10" t="str">
        <x:v>Using isolated fixtures, replay POST /api/staff/governance as anonymous, ordinary member, unrelated staff role and wrong owner as applicable. Test every current supported action separately; record authorization differences.</x:v>
      </x:c>
      <x:c r="J440" s="10" t="str">
        <x:v>Authorization matches action-specific grants/ownership/publication; authorized exceptions remain allowed and all unauthorized reads/writes denied without private leakage.</x:v>
      </x:c>
      <x:c r="K440" s="11" t="str"/>
      <x:c r="L440" s="11" t="str">
        <x:v>Not run</x:v>
      </x:c>
      <x:c r="M440" s="11" t="str"/>
      <x:c r="N440" s="11" t="str"/>
      <x:c r="O440" s="11" t="str"/>
      <x:c r="P440" s="11" t="str"/>
      <x:c r="Q440" s="11" t="str"/>
      <x:c r="R440" s="11" t="str"/>
      <x:c r="S440" s="10" t="str">
        <x:v>Role/request matrix + response + unchanged database</x:v>
      </x:c>
      <x:c r="T440" s="10" t="str">
        <x:v>src/app/api/staff/governance/route.ts</x:v>
      </x:c>
      <x:c r="U440" s="10" t="str">
        <x:v>Reconcile tagged fixtures; archive/withdraw only owned test publications. Preserve audit/financial history.</x:v>
      </x:c>
      <x:c r="V440" s="12" t="str">
        <x:f>IF(A440="","",IF(L440="Not run","Pending",IF(OR(L440="Blocked",L440="Not deployed",L440="Not applicable"),IF(OR(K440="",R440=""),"Needs explanation","Recorded"),IF(OR(L440="Pass",L440="Fail"),IF(OR(K440="",M440="",P440=""),"Needs result/evidence/build","Recorded"),"Needs valid status"))))</x:f>
        <x:v>Pending</x:v>
      </x:c>
    </x:row>
    <x:row r="441" ht="66" customHeight="1">
      <x:c r="A441" s="10" t="str">
        <x:v>QA-0437</x:v>
      </x:c>
      <x:c r="B441" s="10" t="str">
        <x:v>T. API contract</x:v>
      </x:c>
      <x:c r="C441" s="10" t="str">
        <x:v>POST /api/staff/imports</x:v>
      </x:c>
      <x:c r="D441" s="10" t="str">
        <x:v>/api/staff/imports</x:v>
      </x:c>
      <x:c r="E441" s="10" t="str">
        <x:v>Technical tester</x:v>
      </x:c>
      <x:c r="F441" s="10" t="str">
        <x:v>P0</x:v>
      </x:c>
      <x:c r="G441" s="10" t="str">
        <x:v>Isolated only</x:v>
      </x:c>
      <x:c r="H441" s="10" t="str">
        <x:v>Isolated app/database; providers disabled or QA allowlist; exact request schema and fixture ID from current source/UI.</x:v>
      </x:c>
      <x:c r="I441" s="10" t="str">
        <x:v>Inspect route and delegated service contract for query/body/allowed actions. Capture a valid request from QA UI, replace dynamic IDs with owned fixture IDs, replay POST /api/staff/imports once in isolated environment. Check status/body/headers and exact database/job effects.</x:v>
      </x:c>
      <x:c r="J441" s="10" t="str">
        <x:v>Valid supported request returns documented result; expected mutations only. Public/token endpoints follow their own policy; no assumption of a universal 200/401 response.</x:v>
      </x:c>
      <x:c r="K441" s="11" t="str"/>
      <x:c r="L441" s="11" t="str">
        <x:v>Not run</x:v>
      </x:c>
      <x:c r="M441" s="11" t="str"/>
      <x:c r="N441" s="11" t="str"/>
      <x:c r="O441" s="11" t="str"/>
      <x:c r="P441" s="11" t="str"/>
      <x:c r="Q441" s="11" t="str"/>
      <x:c r="R441" s="11" t="str"/>
      <x:c r="S441" s="10" t="str">
        <x:v>Sanitized HTTP request/response + before/after query</x:v>
      </x:c>
      <x:c r="T441" s="10" t="str">
        <x:v>src/app/api/staff/imports/route.ts</x:v>
      </x:c>
      <x:c r="U441" s="10" t="str">
        <x:v>Reconcile tagged fixtures; archive/withdraw only owned test publications. Preserve audit/financial history.</x:v>
      </x:c>
      <x:c r="V441" s="12" t="str">
        <x:f>IF(A441="","",IF(L441="Not run","Pending",IF(OR(L441="Blocked",L441="Not deployed",L441="Not applicable"),IF(OR(K441="",R441=""),"Needs explanation","Recorded"),IF(OR(L441="Pass",L441="Fail"),IF(OR(K441="",M441="",P441=""),"Needs result/evidence/build","Recorded"),"Needs valid status"))))</x:f>
        <x:v>Pending</x:v>
      </x:c>
    </x:row>
    <x:row r="442" ht="52" customHeight="1">
      <x:c r="A442" s="10" t="str">
        <x:v>QA-0438</x:v>
      </x:c>
      <x:c r="B442" s="10" t="str">
        <x:v>T. API contract</x:v>
      </x:c>
      <x:c r="C442" s="10" t="str">
        <x:v>POST boundary: /api/staff/imports</x:v>
      </x:c>
      <x:c r="D442" s="10" t="str">
        <x:v>/api/staff/imports</x:v>
      </x:c>
      <x:c r="E442" s="10" t="str">
        <x:v>Technical tester</x:v>
      </x:c>
      <x:c r="F442" s="10" t="str">
        <x:v>P0</x:v>
      </x:c>
      <x:c r="G442" s="10" t="str">
        <x:v>Isolated only</x:v>
      </x:c>
      <x:c r="H442" s="10" t="str">
        <x:v>Record deployed build. Use assigned test accounts, synthetic data and approved fixtures/recipients only.</x:v>
      </x:c>
      <x:c r="I442" s="10" t="str">
        <x:v>Using isolated fixtures, replay POST /api/staff/imports as anonymous, ordinary member, unrelated staff role and wrong owner as applicable. Test every current supported action separately; record authorization differences.</x:v>
      </x:c>
      <x:c r="J442" s="10" t="str">
        <x:v>Authorization matches action-specific grants/ownership/publication; authorized exceptions remain allowed and all unauthorized reads/writes denied without private leakage.</x:v>
      </x:c>
      <x:c r="K442" s="11" t="str"/>
      <x:c r="L442" s="11" t="str">
        <x:v>Not run</x:v>
      </x:c>
      <x:c r="M442" s="11" t="str"/>
      <x:c r="N442" s="11" t="str"/>
      <x:c r="O442" s="11" t="str"/>
      <x:c r="P442" s="11" t="str"/>
      <x:c r="Q442" s="11" t="str"/>
      <x:c r="R442" s="11" t="str"/>
      <x:c r="S442" s="10" t="str">
        <x:v>Role/request matrix + response + unchanged database</x:v>
      </x:c>
      <x:c r="T442" s="10" t="str">
        <x:v>src/app/api/staff/imports/route.ts</x:v>
      </x:c>
      <x:c r="U442" s="10" t="str">
        <x:v>Reconcile tagged fixtures; archive/withdraw only owned test publications. Preserve audit/financial history.</x:v>
      </x:c>
      <x:c r="V442" s="12" t="str">
        <x:f>IF(A442="","",IF(L442="Not run","Pending",IF(OR(L442="Blocked",L442="Not deployed",L442="Not applicable"),IF(OR(K442="",R442=""),"Needs explanation","Recorded"),IF(OR(L442="Pass",L442="Fail"),IF(OR(K442="",M442="",P442=""),"Needs result/evidence/build","Recorded"),"Needs valid status"))))</x:f>
        <x:v>Pending</x:v>
      </x:c>
    </x:row>
    <x:row r="443" ht="66" customHeight="1">
      <x:c r="A443" s="10" t="str">
        <x:v>QA-0439</x:v>
      </x:c>
      <x:c r="B443" s="10" t="str">
        <x:v>T. API contract</x:v>
      </x:c>
      <x:c r="C443" s="10" t="str">
        <x:v>GET /api/staff/inbox</x:v>
      </x:c>
      <x:c r="D443" s="10" t="str">
        <x:v>/api/staff/inbox</x:v>
      </x:c>
      <x:c r="E443" s="10" t="str">
        <x:v>Technical tester</x:v>
      </x:c>
      <x:c r="F443" s="10" t="str">
        <x:v>P1</x:v>
      </x:c>
      <x:c r="G443" s="10" t="str">
        <x:v>Isolated only</x:v>
      </x:c>
      <x:c r="H443" s="10" t="str">
        <x:v>Isolated app/database; providers disabled or QA allowlist; exact request schema and fixture ID from current source/UI.</x:v>
      </x:c>
      <x:c r="I443" s="10" t="str">
        <x:v>Inspect route and delegated service contract for query/body/allowed actions. Capture a valid request from QA UI, replace dynamic IDs with owned fixture IDs, replay GET /api/staff/inbox once in isolated environment. Check status/body/headers and exact database/job effects.</x:v>
      </x:c>
      <x:c r="J443" s="10" t="str">
        <x:v>Valid supported request returns documented result; expected mutations only. Public/token endpoints follow their own policy; no assumption of a universal 200/401 response.</x:v>
      </x:c>
      <x:c r="K443" s="11" t="str"/>
      <x:c r="L443" s="11" t="str">
        <x:v>Not run</x:v>
      </x:c>
      <x:c r="M443" s="11" t="str"/>
      <x:c r="N443" s="11" t="str"/>
      <x:c r="O443" s="11" t="str"/>
      <x:c r="P443" s="11" t="str"/>
      <x:c r="Q443" s="11" t="str"/>
      <x:c r="R443" s="11" t="str"/>
      <x:c r="S443" s="10" t="str">
        <x:v>Sanitized HTTP request/response + before/after query</x:v>
      </x:c>
      <x:c r="T443" s="10" t="str">
        <x:v>src/app/api/staff/inbox/route.ts</x:v>
      </x:c>
      <x:c r="U443" s="10" t="str">
        <x:v>Reconcile tagged fixtures; archive/withdraw only owned test publications. Preserve audit/financial history.</x:v>
      </x:c>
      <x:c r="V443" s="12" t="str">
        <x:f>IF(A443="","",IF(L443="Not run","Pending",IF(OR(L443="Blocked",L443="Not deployed",L443="Not applicable"),IF(OR(K443="",R443=""),"Needs explanation","Recorded"),IF(OR(L443="Pass",L443="Fail"),IF(OR(K443="",M443="",P443=""),"Needs result/evidence/build","Recorded"),"Needs valid status"))))</x:f>
        <x:v>Pending</x:v>
      </x:c>
    </x:row>
    <x:row r="444" ht="52" customHeight="1">
      <x:c r="A444" s="10" t="str">
        <x:v>QA-0440</x:v>
      </x:c>
      <x:c r="B444" s="10" t="str">
        <x:v>T. API contract</x:v>
      </x:c>
      <x:c r="C444" s="10" t="str">
        <x:v>GET boundary: /api/staff/inbox</x:v>
      </x:c>
      <x:c r="D444" s="10" t="str">
        <x:v>/api/staff/inbox</x:v>
      </x:c>
      <x:c r="E444" s="10" t="str">
        <x:v>Technical tester</x:v>
      </x:c>
      <x:c r="F444" s="10" t="str">
        <x:v>P0</x:v>
      </x:c>
      <x:c r="G444" s="10" t="str">
        <x:v>Isolated only</x:v>
      </x:c>
      <x:c r="H444" s="10" t="str">
        <x:v>Record deployed build. Use assigned test accounts, synthetic data and approved fixtures/recipients only.</x:v>
      </x:c>
      <x:c r="I444" s="10" t="str">
        <x:v>Using isolated fixtures, replay GET /api/staff/inbox as anonymous, ordinary member, unrelated staff role and wrong owner as applicable. Test every current supported action separately; record authorization differences.</x:v>
      </x:c>
      <x:c r="J444" s="10" t="str">
        <x:v>Authorization matches action-specific grants/ownership/publication; authorized exceptions remain allowed and all unauthorized reads/writes denied without private leakage.</x:v>
      </x:c>
      <x:c r="K444" s="11" t="str"/>
      <x:c r="L444" s="11" t="str">
        <x:v>Not run</x:v>
      </x:c>
      <x:c r="M444" s="11" t="str"/>
      <x:c r="N444" s="11" t="str"/>
      <x:c r="O444" s="11" t="str"/>
      <x:c r="P444" s="11" t="str"/>
      <x:c r="Q444" s="11" t="str"/>
      <x:c r="R444" s="11" t="str"/>
      <x:c r="S444" s="10" t="str">
        <x:v>Role/request matrix + response + unchanged database</x:v>
      </x:c>
      <x:c r="T444" s="10" t="str">
        <x:v>src/app/api/staff/inbox/route.ts</x:v>
      </x:c>
      <x:c r="U444" s="10" t="str">
        <x:v>Reconcile tagged fixtures; archive/withdraw only owned test publications. Preserve audit/financial history.</x:v>
      </x:c>
      <x:c r="V444" s="12" t="str">
        <x:f>IF(A444="","",IF(L444="Not run","Pending",IF(OR(L444="Blocked",L444="Not deployed",L444="Not applicable"),IF(OR(K444="",R444=""),"Needs explanation","Recorded"),IF(OR(L444="Pass",L444="Fail"),IF(OR(K444="",M444="",P444=""),"Needs result/evidence/build","Recorded"),"Needs valid status"))))</x:f>
        <x:v>Pending</x:v>
      </x:c>
    </x:row>
    <x:row r="445" ht="66" customHeight="1">
      <x:c r="A445" s="10" t="str">
        <x:v>QA-0441</x:v>
      </x:c>
      <x:c r="B445" s="10" t="str">
        <x:v>T. API contract</x:v>
      </x:c>
      <x:c r="C445" s="10" t="str">
        <x:v>POST /api/staff/inbox</x:v>
      </x:c>
      <x:c r="D445" s="10" t="str">
        <x:v>/api/staff/inbox</x:v>
      </x:c>
      <x:c r="E445" s="10" t="str">
        <x:v>Technical tester</x:v>
      </x:c>
      <x:c r="F445" s="10" t="str">
        <x:v>P0</x:v>
      </x:c>
      <x:c r="G445" s="10" t="str">
        <x:v>Isolated only</x:v>
      </x:c>
      <x:c r="H445" s="10" t="str">
        <x:v>Isolated app/database; providers disabled or QA allowlist; exact request schema and fixture ID from current source/UI.</x:v>
      </x:c>
      <x:c r="I445" s="10" t="str">
        <x:v>Inspect route and delegated service contract for query/body/allowed actions. Capture a valid request from QA UI, replace dynamic IDs with owned fixture IDs, replay POST /api/staff/inbox once in isolated environment. Check status/body/headers and exact database/job effects.</x:v>
      </x:c>
      <x:c r="J445" s="10" t="str">
        <x:v>Valid supported request returns documented result; expected mutations only. Public/token endpoints follow their own policy; no assumption of a universal 200/401 response.</x:v>
      </x:c>
      <x:c r="K445" s="11" t="str"/>
      <x:c r="L445" s="11" t="str">
        <x:v>Not run</x:v>
      </x:c>
      <x:c r="M445" s="11" t="str"/>
      <x:c r="N445" s="11" t="str"/>
      <x:c r="O445" s="11" t="str"/>
      <x:c r="P445" s="11" t="str"/>
      <x:c r="Q445" s="11" t="str"/>
      <x:c r="R445" s="11" t="str"/>
      <x:c r="S445" s="10" t="str">
        <x:v>Sanitized HTTP request/response + before/after query</x:v>
      </x:c>
      <x:c r="T445" s="10" t="str">
        <x:v>src/app/api/staff/inbox/route.ts</x:v>
      </x:c>
      <x:c r="U445" s="10" t="str">
        <x:v>Reconcile tagged fixtures; archive/withdraw only owned test publications. Preserve audit/financial history.</x:v>
      </x:c>
      <x:c r="V445" s="12" t="str">
        <x:f>IF(A445="","",IF(L445="Not run","Pending",IF(OR(L445="Blocked",L445="Not deployed",L445="Not applicable"),IF(OR(K445="",R445=""),"Needs explanation","Recorded"),IF(OR(L445="Pass",L445="Fail"),IF(OR(K445="",M445="",P445=""),"Needs result/evidence/build","Recorded"),"Needs valid status"))))</x:f>
        <x:v>Pending</x:v>
      </x:c>
    </x:row>
    <x:row r="446" ht="52" customHeight="1">
      <x:c r="A446" s="10" t="str">
        <x:v>QA-0442</x:v>
      </x:c>
      <x:c r="B446" s="10" t="str">
        <x:v>T. API contract</x:v>
      </x:c>
      <x:c r="C446" s="10" t="str">
        <x:v>POST boundary: /api/staff/inbox</x:v>
      </x:c>
      <x:c r="D446" s="10" t="str">
        <x:v>/api/staff/inbox</x:v>
      </x:c>
      <x:c r="E446" s="10" t="str">
        <x:v>Technical tester</x:v>
      </x:c>
      <x:c r="F446" s="10" t="str">
        <x:v>P0</x:v>
      </x:c>
      <x:c r="G446" s="10" t="str">
        <x:v>Isolated only</x:v>
      </x:c>
      <x:c r="H446" s="10" t="str">
        <x:v>Record deployed build. Use assigned test accounts, synthetic data and approved fixtures/recipients only.</x:v>
      </x:c>
      <x:c r="I446" s="10" t="str">
        <x:v>Using isolated fixtures, replay POST /api/staff/inbox as anonymous, ordinary member, unrelated staff role and wrong owner as applicable. Test every current supported action separately; record authorization differences.</x:v>
      </x:c>
      <x:c r="J446" s="10" t="str">
        <x:v>Authorization matches action-specific grants/ownership/publication; authorized exceptions remain allowed and all unauthorized reads/writes denied without private leakage.</x:v>
      </x:c>
      <x:c r="K446" s="11" t="str"/>
      <x:c r="L446" s="11" t="str">
        <x:v>Not run</x:v>
      </x:c>
      <x:c r="M446" s="11" t="str"/>
      <x:c r="N446" s="11" t="str"/>
      <x:c r="O446" s="11" t="str"/>
      <x:c r="P446" s="11" t="str"/>
      <x:c r="Q446" s="11" t="str"/>
      <x:c r="R446" s="11" t="str"/>
      <x:c r="S446" s="10" t="str">
        <x:v>Role/request matrix + response + unchanged database</x:v>
      </x:c>
      <x:c r="T446" s="10" t="str">
        <x:v>src/app/api/staff/inbox/route.ts</x:v>
      </x:c>
      <x:c r="U446" s="10" t="str">
        <x:v>Reconcile tagged fixtures; archive/withdraw only owned test publications. Preserve audit/financial history.</x:v>
      </x:c>
      <x:c r="V446" s="12" t="str">
        <x:f>IF(A446="","",IF(L446="Not run","Pending",IF(OR(L446="Blocked",L446="Not deployed",L446="Not applicable"),IF(OR(K446="",R446=""),"Needs explanation","Recorded"),IF(OR(L446="Pass",L446="Fail"),IF(OR(K446="",M446="",P446=""),"Needs result/evidence/build","Recorded"),"Needs valid status"))))</x:f>
        <x:v>Pending</x:v>
      </x:c>
    </x:row>
    <x:row r="447" ht="66" customHeight="1">
      <x:c r="A447" s="10" t="str">
        <x:v>QA-0443</x:v>
      </x:c>
      <x:c r="B447" s="10" t="str">
        <x:v>T. API contract</x:v>
      </x:c>
      <x:c r="C447" s="10" t="str">
        <x:v>GET /api/staff/invitation-releases</x:v>
      </x:c>
      <x:c r="D447" s="10" t="str">
        <x:v>/api/staff/invitation-releases</x:v>
      </x:c>
      <x:c r="E447" s="10" t="str">
        <x:v>Technical tester</x:v>
      </x:c>
      <x:c r="F447" s="10" t="str">
        <x:v>P1</x:v>
      </x:c>
      <x:c r="G447" s="10" t="str">
        <x:v>Isolated only</x:v>
      </x:c>
      <x:c r="H447" s="10" t="str">
        <x:v>Isolated app/database; providers disabled or QA allowlist; exact request schema and fixture ID from current source/UI.</x:v>
      </x:c>
      <x:c r="I447" s="10" t="str">
        <x:v>Inspect route and delegated service contract for query/body/allowed actions. Capture a valid request from QA UI, replace dynamic IDs with owned fixture IDs, replay GET /api/staff/invitation-releases once in isolated environment. Check status/body/headers and exact database/job effects.</x:v>
      </x:c>
      <x:c r="J447" s="10" t="str">
        <x:v>Valid supported request returns documented result; expected mutations only. Public/token endpoints follow their own policy; no assumption of a universal 200/401 response.</x:v>
      </x:c>
      <x:c r="K447" s="11" t="str"/>
      <x:c r="L447" s="11" t="str">
        <x:v>Not run</x:v>
      </x:c>
      <x:c r="M447" s="11" t="str"/>
      <x:c r="N447" s="11" t="str"/>
      <x:c r="O447" s="11" t="str"/>
      <x:c r="P447" s="11" t="str"/>
      <x:c r="Q447" s="11" t="str"/>
      <x:c r="R447" s="11" t="str"/>
      <x:c r="S447" s="10" t="str">
        <x:v>Sanitized HTTP request/response + before/after query</x:v>
      </x:c>
      <x:c r="T447" s="10" t="str">
        <x:v>src/app/api/staff/invitation-releases/route.ts</x:v>
      </x:c>
      <x:c r="U447" s="10" t="str">
        <x:v>Reconcile tagged fixtures; archive/withdraw only owned test publications. Preserve audit/financial history.</x:v>
      </x:c>
      <x:c r="V447" s="12" t="str">
        <x:f>IF(A447="","",IF(L447="Not run","Pending",IF(OR(L447="Blocked",L447="Not deployed",L447="Not applicable"),IF(OR(K447="",R447=""),"Needs explanation","Recorded"),IF(OR(L447="Pass",L447="Fail"),IF(OR(K447="",M447="",P447=""),"Needs result/evidence/build","Recorded"),"Needs valid status"))))</x:f>
        <x:v>Pending</x:v>
      </x:c>
    </x:row>
    <x:row r="448" ht="52" customHeight="1">
      <x:c r="A448" s="10" t="str">
        <x:v>QA-0444</x:v>
      </x:c>
      <x:c r="B448" s="10" t="str">
        <x:v>T. API contract</x:v>
      </x:c>
      <x:c r="C448" s="10" t="str">
        <x:v>GET boundary: /api/staff/invitation-releases</x:v>
      </x:c>
      <x:c r="D448" s="10" t="str">
        <x:v>/api/staff/invitation-releases</x:v>
      </x:c>
      <x:c r="E448" s="10" t="str">
        <x:v>Technical tester</x:v>
      </x:c>
      <x:c r="F448" s="10" t="str">
        <x:v>P0</x:v>
      </x:c>
      <x:c r="G448" s="10" t="str">
        <x:v>Isolated only</x:v>
      </x:c>
      <x:c r="H448" s="10" t="str">
        <x:v>Record deployed build. Use assigned test accounts, synthetic data and approved fixtures/recipients only.</x:v>
      </x:c>
      <x:c r="I448" s="10" t="str">
        <x:v>Using isolated fixtures, replay GET /api/staff/invitation-releases as anonymous, ordinary member, unrelated staff role and wrong owner as applicable. Test every current supported action separately; record authorization differences.</x:v>
      </x:c>
      <x:c r="J448" s="10" t="str">
        <x:v>Authorization matches action-specific grants/ownership/publication; authorized exceptions remain allowed and all unauthorized reads/writes denied without private leakage.</x:v>
      </x:c>
      <x:c r="K448" s="11" t="str"/>
      <x:c r="L448" s="11" t="str">
        <x:v>Not run</x:v>
      </x:c>
      <x:c r="M448" s="11" t="str"/>
      <x:c r="N448" s="11" t="str"/>
      <x:c r="O448" s="11" t="str"/>
      <x:c r="P448" s="11" t="str"/>
      <x:c r="Q448" s="11" t="str"/>
      <x:c r="R448" s="11" t="str"/>
      <x:c r="S448" s="10" t="str">
        <x:v>Role/request matrix + response + unchanged database</x:v>
      </x:c>
      <x:c r="T448" s="10" t="str">
        <x:v>src/app/api/staff/invitation-releases/route.ts</x:v>
      </x:c>
      <x:c r="U448" s="10" t="str">
        <x:v>Reconcile tagged fixtures; archive/withdraw only owned test publications. Preserve audit/financial history.</x:v>
      </x:c>
      <x:c r="V448" s="12" t="str">
        <x:f>IF(A448="","",IF(L448="Not run","Pending",IF(OR(L448="Blocked",L448="Not deployed",L448="Not applicable"),IF(OR(K448="",R448=""),"Needs explanation","Recorded"),IF(OR(L448="Pass",L448="Fail"),IF(OR(K448="",M448="",P448=""),"Needs result/evidence/build","Recorded"),"Needs valid status"))))</x:f>
        <x:v>Pending</x:v>
      </x:c>
    </x:row>
    <x:row r="449" ht="66" customHeight="1">
      <x:c r="A449" s="10" t="str">
        <x:v>QA-0445</x:v>
      </x:c>
      <x:c r="B449" s="10" t="str">
        <x:v>T. API contract</x:v>
      </x:c>
      <x:c r="C449" s="10" t="str">
        <x:v>POST /api/staff/invitation-releases</x:v>
      </x:c>
      <x:c r="D449" s="10" t="str">
        <x:v>/api/staff/invitation-releases</x:v>
      </x:c>
      <x:c r="E449" s="10" t="str">
        <x:v>Technical tester</x:v>
      </x:c>
      <x:c r="F449" s="10" t="str">
        <x:v>P0</x:v>
      </x:c>
      <x:c r="G449" s="10" t="str">
        <x:v>Isolated only</x:v>
      </x:c>
      <x:c r="H449" s="10" t="str">
        <x:v>Isolated app/database; providers disabled or QA allowlist; exact request schema and fixture ID from current source/UI.</x:v>
      </x:c>
      <x:c r="I449" s="10" t="str">
        <x:v>Inspect route and delegated service contract for query/body/allowed actions. Capture a valid request from QA UI, replace dynamic IDs with owned fixture IDs, replay POST /api/staff/invitation-releases once in isolated environment. Check status/body/headers and exact database/job effects.</x:v>
      </x:c>
      <x:c r="J449" s="10" t="str">
        <x:v>Valid supported request returns documented result; expected mutations only. Public/token endpoints follow their own policy; no assumption of a universal 200/401 response.</x:v>
      </x:c>
      <x:c r="K449" s="11" t="str"/>
      <x:c r="L449" s="11" t="str">
        <x:v>Not run</x:v>
      </x:c>
      <x:c r="M449" s="11" t="str"/>
      <x:c r="N449" s="11" t="str"/>
      <x:c r="O449" s="11" t="str"/>
      <x:c r="P449" s="11" t="str"/>
      <x:c r="Q449" s="11" t="str"/>
      <x:c r="R449" s="11" t="str"/>
      <x:c r="S449" s="10" t="str">
        <x:v>Sanitized HTTP request/response + before/after query</x:v>
      </x:c>
      <x:c r="T449" s="10" t="str">
        <x:v>src/app/api/staff/invitation-releases/route.ts</x:v>
      </x:c>
      <x:c r="U449" s="10" t="str">
        <x:v>Reconcile tagged fixtures; archive/withdraw only owned test publications. Preserve audit/financial history.</x:v>
      </x:c>
      <x:c r="V449" s="12" t="str">
        <x:f>IF(A449="","",IF(L449="Not run","Pending",IF(OR(L449="Blocked",L449="Not deployed",L449="Not applicable"),IF(OR(K449="",R449=""),"Needs explanation","Recorded"),IF(OR(L449="Pass",L449="Fail"),IF(OR(K449="",M449="",P449=""),"Needs result/evidence/build","Recorded"),"Needs valid status"))))</x:f>
        <x:v>Pending</x:v>
      </x:c>
    </x:row>
    <x:row r="450" ht="52" customHeight="1">
      <x:c r="A450" s="10" t="str">
        <x:v>QA-0446</x:v>
      </x:c>
      <x:c r="B450" s="10" t="str">
        <x:v>T. API contract</x:v>
      </x:c>
      <x:c r="C450" s="10" t="str">
        <x:v>POST boundary: /api/staff/invitation-releases</x:v>
      </x:c>
      <x:c r="D450" s="10" t="str">
        <x:v>/api/staff/invitation-releases</x:v>
      </x:c>
      <x:c r="E450" s="10" t="str">
        <x:v>Technical tester</x:v>
      </x:c>
      <x:c r="F450" s="10" t="str">
        <x:v>P0</x:v>
      </x:c>
      <x:c r="G450" s="10" t="str">
        <x:v>Isolated only</x:v>
      </x:c>
      <x:c r="H450" s="10" t="str">
        <x:v>Record deployed build. Use assigned test accounts, synthetic data and approved fixtures/recipients only.</x:v>
      </x:c>
      <x:c r="I450" s="10" t="str">
        <x:v>Using isolated fixtures, replay POST /api/staff/invitation-releases as anonymous, ordinary member, unrelated staff role and wrong owner as applicable. Test every current supported action separately; record authorization differences.</x:v>
      </x:c>
      <x:c r="J450" s="10" t="str">
        <x:v>Authorization matches action-specific grants/ownership/publication; authorized exceptions remain allowed and all unauthorized reads/writes denied without private leakage.</x:v>
      </x:c>
      <x:c r="K450" s="11" t="str"/>
      <x:c r="L450" s="11" t="str">
        <x:v>Not run</x:v>
      </x:c>
      <x:c r="M450" s="11" t="str"/>
      <x:c r="N450" s="11" t="str"/>
      <x:c r="O450" s="11" t="str"/>
      <x:c r="P450" s="11" t="str"/>
      <x:c r="Q450" s="11" t="str"/>
      <x:c r="R450" s="11" t="str"/>
      <x:c r="S450" s="10" t="str">
        <x:v>Role/request matrix + response + unchanged database</x:v>
      </x:c>
      <x:c r="T450" s="10" t="str">
        <x:v>src/app/api/staff/invitation-releases/route.ts</x:v>
      </x:c>
      <x:c r="U450" s="10" t="str">
        <x:v>Reconcile tagged fixtures; archive/withdraw only owned test publications. Preserve audit/financial history.</x:v>
      </x:c>
      <x:c r="V450" s="12" t="str">
        <x:f>IF(A450="","",IF(L450="Not run","Pending",IF(OR(L450="Blocked",L450="Not deployed",L450="Not applicable"),IF(OR(K450="",R450=""),"Needs explanation","Recorded"),IF(OR(L450="Pass",L450="Fail"),IF(OR(K450="",M450="",P450=""),"Needs result/evidence/build","Recorded"),"Needs valid status"))))</x:f>
        <x:v>Pending</x:v>
      </x:c>
    </x:row>
    <x:row r="451" ht="66" customHeight="1">
      <x:c r="A451" s="10" t="str">
        <x:v>QA-0447</x:v>
      </x:c>
      <x:c r="B451" s="10" t="str">
        <x:v>T. API contract</x:v>
      </x:c>
      <x:c r="C451" s="10" t="str">
        <x:v>GET /api/staff/invitation-templates</x:v>
      </x:c>
      <x:c r="D451" s="10" t="str">
        <x:v>/api/staff/invitation-templates</x:v>
      </x:c>
      <x:c r="E451" s="10" t="str">
        <x:v>Technical tester</x:v>
      </x:c>
      <x:c r="F451" s="10" t="str">
        <x:v>P1</x:v>
      </x:c>
      <x:c r="G451" s="10" t="str">
        <x:v>Isolated only</x:v>
      </x:c>
      <x:c r="H451" s="10" t="str">
        <x:v>Isolated app/database; providers disabled or QA allowlist; exact request schema and fixture ID from current source/UI.</x:v>
      </x:c>
      <x:c r="I451" s="10" t="str">
        <x:v>Inspect route and delegated service contract for query/body/allowed actions. Capture a valid request from QA UI, replace dynamic IDs with owned fixture IDs, replay GET /api/staff/invitation-templates once in isolated environment. Check status/body/headers and exact database/job effects.</x:v>
      </x:c>
      <x:c r="J451" s="10" t="str">
        <x:v>Valid supported request returns documented result; expected mutations only. Public/token endpoints follow their own policy; no assumption of a universal 200/401 response.</x:v>
      </x:c>
      <x:c r="K451" s="11" t="str"/>
      <x:c r="L451" s="11" t="str">
        <x:v>Not run</x:v>
      </x:c>
      <x:c r="M451" s="11" t="str"/>
      <x:c r="N451" s="11" t="str"/>
      <x:c r="O451" s="11" t="str"/>
      <x:c r="P451" s="11" t="str"/>
      <x:c r="Q451" s="11" t="str"/>
      <x:c r="R451" s="11" t="str"/>
      <x:c r="S451" s="10" t="str">
        <x:v>Sanitized HTTP request/response + before/after query</x:v>
      </x:c>
      <x:c r="T451" s="10" t="str">
        <x:v>src/app/api/staff/invitation-templates/route.ts</x:v>
      </x:c>
      <x:c r="U451" s="10" t="str">
        <x:v>Reconcile tagged fixtures; archive/withdraw only owned test publications. Preserve audit/financial history.</x:v>
      </x:c>
      <x:c r="V451" s="12" t="str">
        <x:f>IF(A451="","",IF(L451="Not run","Pending",IF(OR(L451="Blocked",L451="Not deployed",L451="Not applicable"),IF(OR(K451="",R451=""),"Needs explanation","Recorded"),IF(OR(L451="Pass",L451="Fail"),IF(OR(K451="",M451="",P451=""),"Needs result/evidence/build","Recorded"),"Needs valid status"))))</x:f>
        <x:v>Pending</x:v>
      </x:c>
    </x:row>
    <x:row r="452" ht="52" customHeight="1">
      <x:c r="A452" s="10" t="str">
        <x:v>QA-0448</x:v>
      </x:c>
      <x:c r="B452" s="10" t="str">
        <x:v>T. API contract</x:v>
      </x:c>
      <x:c r="C452" s="10" t="str">
        <x:v>GET boundary: /api/staff/invitation-templates</x:v>
      </x:c>
      <x:c r="D452" s="10" t="str">
        <x:v>/api/staff/invitation-templates</x:v>
      </x:c>
      <x:c r="E452" s="10" t="str">
        <x:v>Technical tester</x:v>
      </x:c>
      <x:c r="F452" s="10" t="str">
        <x:v>P0</x:v>
      </x:c>
      <x:c r="G452" s="10" t="str">
        <x:v>Isolated only</x:v>
      </x:c>
      <x:c r="H452" s="10" t="str">
        <x:v>Record deployed build. Use assigned test accounts, synthetic data and approved fixtures/recipients only.</x:v>
      </x:c>
      <x:c r="I452" s="10" t="str">
        <x:v>Using isolated fixtures, replay GET /api/staff/invitation-templates as anonymous, ordinary member, unrelated staff role and wrong owner as applicable. Test every current supported action separately; record authorization differences.</x:v>
      </x:c>
      <x:c r="J452" s="10" t="str">
        <x:v>Authorization matches action-specific grants/ownership/publication; authorized exceptions remain allowed and all unauthorized reads/writes denied without private leakage.</x:v>
      </x:c>
      <x:c r="K452" s="11" t="str"/>
      <x:c r="L452" s="11" t="str">
        <x:v>Not run</x:v>
      </x:c>
      <x:c r="M452" s="11" t="str"/>
      <x:c r="N452" s="11" t="str"/>
      <x:c r="O452" s="11" t="str"/>
      <x:c r="P452" s="11" t="str"/>
      <x:c r="Q452" s="11" t="str"/>
      <x:c r="R452" s="11" t="str"/>
      <x:c r="S452" s="10" t="str">
        <x:v>Role/request matrix + response + unchanged database</x:v>
      </x:c>
      <x:c r="T452" s="10" t="str">
        <x:v>src/app/api/staff/invitation-templates/route.ts</x:v>
      </x:c>
      <x:c r="U452" s="10" t="str">
        <x:v>Reconcile tagged fixtures; archive/withdraw only owned test publications. Preserve audit/financial history.</x:v>
      </x:c>
      <x:c r="V452" s="12" t="str">
        <x:f>IF(A452="","",IF(L452="Not run","Pending",IF(OR(L452="Blocked",L452="Not deployed",L452="Not applicable"),IF(OR(K452="",R452=""),"Needs explanation","Recorded"),IF(OR(L452="Pass",L452="Fail"),IF(OR(K452="",M452="",P452=""),"Needs result/evidence/build","Recorded"),"Needs valid status"))))</x:f>
        <x:v>Pending</x:v>
      </x:c>
    </x:row>
    <x:row r="453" ht="66" customHeight="1">
      <x:c r="A453" s="10" t="str">
        <x:v>QA-0449</x:v>
      </x:c>
      <x:c r="B453" s="10" t="str">
        <x:v>T. API contract</x:v>
      </x:c>
      <x:c r="C453" s="10" t="str">
        <x:v>POST /api/staff/invitation-templates</x:v>
      </x:c>
      <x:c r="D453" s="10" t="str">
        <x:v>/api/staff/invitation-templates</x:v>
      </x:c>
      <x:c r="E453" s="10" t="str">
        <x:v>Technical tester</x:v>
      </x:c>
      <x:c r="F453" s="10" t="str">
        <x:v>P0</x:v>
      </x:c>
      <x:c r="G453" s="10" t="str">
        <x:v>Isolated only</x:v>
      </x:c>
      <x:c r="H453" s="10" t="str">
        <x:v>Isolated app/database; providers disabled or QA allowlist; exact request schema and fixture ID from current source/UI.</x:v>
      </x:c>
      <x:c r="I453" s="10" t="str">
        <x:v>Inspect route and delegated service contract for query/body/allowed actions. Capture a valid request from QA UI, replace dynamic IDs with owned fixture IDs, replay POST /api/staff/invitation-templates once in isolated environment. Check status/body/headers and exact database/job effects.</x:v>
      </x:c>
      <x:c r="J453" s="10" t="str">
        <x:v>Valid supported request returns documented result; expected mutations only. Public/token endpoints follow their own policy; no assumption of a universal 200/401 response.</x:v>
      </x:c>
      <x:c r="K453" s="11" t="str"/>
      <x:c r="L453" s="11" t="str">
        <x:v>Not run</x:v>
      </x:c>
      <x:c r="M453" s="11" t="str"/>
      <x:c r="N453" s="11" t="str"/>
      <x:c r="O453" s="11" t="str"/>
      <x:c r="P453" s="11" t="str"/>
      <x:c r="Q453" s="11" t="str"/>
      <x:c r="R453" s="11" t="str"/>
      <x:c r="S453" s="10" t="str">
        <x:v>Sanitized HTTP request/response + before/after query</x:v>
      </x:c>
      <x:c r="T453" s="10" t="str">
        <x:v>src/app/api/staff/invitation-templates/route.ts</x:v>
      </x:c>
      <x:c r="U453" s="10" t="str">
        <x:v>Reconcile tagged fixtures; archive/withdraw only owned test publications. Preserve audit/financial history.</x:v>
      </x:c>
      <x:c r="V453" s="12" t="str">
        <x:f>IF(A453="","",IF(L453="Not run","Pending",IF(OR(L453="Blocked",L453="Not deployed",L453="Not applicable"),IF(OR(K453="",R453=""),"Needs explanation","Recorded"),IF(OR(L453="Pass",L453="Fail"),IF(OR(K453="",M453="",P453=""),"Needs result/evidence/build","Recorded"),"Needs valid status"))))</x:f>
        <x:v>Pending</x:v>
      </x:c>
    </x:row>
    <x:row r="454" ht="52" customHeight="1">
      <x:c r="A454" s="10" t="str">
        <x:v>QA-0450</x:v>
      </x:c>
      <x:c r="B454" s="10" t="str">
        <x:v>T. API contract</x:v>
      </x:c>
      <x:c r="C454" s="10" t="str">
        <x:v>POST boundary: /api/staff/invitation-templates</x:v>
      </x:c>
      <x:c r="D454" s="10" t="str">
        <x:v>/api/staff/invitation-templates</x:v>
      </x:c>
      <x:c r="E454" s="10" t="str">
        <x:v>Technical tester</x:v>
      </x:c>
      <x:c r="F454" s="10" t="str">
        <x:v>P0</x:v>
      </x:c>
      <x:c r="G454" s="10" t="str">
        <x:v>Isolated only</x:v>
      </x:c>
      <x:c r="H454" s="10" t="str">
        <x:v>Record deployed build. Use assigned test accounts, synthetic data and approved fixtures/recipients only.</x:v>
      </x:c>
      <x:c r="I454" s="10" t="str">
        <x:v>Using isolated fixtures, replay POST /api/staff/invitation-templates as anonymous, ordinary member, unrelated staff role and wrong owner as applicable. Test every current supported action separately; record authorization differences.</x:v>
      </x:c>
      <x:c r="J454" s="10" t="str">
        <x:v>Authorization matches action-specific grants/ownership/publication; authorized exceptions remain allowed and all unauthorized reads/writes denied without private leakage.</x:v>
      </x:c>
      <x:c r="K454" s="11" t="str"/>
      <x:c r="L454" s="11" t="str">
        <x:v>Not run</x:v>
      </x:c>
      <x:c r="M454" s="11" t="str"/>
      <x:c r="N454" s="11" t="str"/>
      <x:c r="O454" s="11" t="str"/>
      <x:c r="P454" s="11" t="str"/>
      <x:c r="Q454" s="11" t="str"/>
      <x:c r="R454" s="11" t="str"/>
      <x:c r="S454" s="10" t="str">
        <x:v>Role/request matrix + response + unchanged database</x:v>
      </x:c>
      <x:c r="T454" s="10" t="str">
        <x:v>src/app/api/staff/invitation-templates/route.ts</x:v>
      </x:c>
      <x:c r="U454" s="10" t="str">
        <x:v>Reconcile tagged fixtures; archive/withdraw only owned test publications. Preserve audit/financial history.</x:v>
      </x:c>
      <x:c r="V454" s="12" t="str">
        <x:f>IF(A454="","",IF(L454="Not run","Pending",IF(OR(L454="Blocked",L454="Not deployed",L454="Not applicable"),IF(OR(K454="",R454=""),"Needs explanation","Recorded"),IF(OR(L454="Pass",L454="Fail"),IF(OR(K454="",M454="",P454=""),"Needs result/evidence/build","Recorded"),"Needs valid status"))))</x:f>
        <x:v>Pending</x:v>
      </x:c>
    </x:row>
    <x:row r="455" ht="66" customHeight="1">
      <x:c r="A455" s="10" t="str">
        <x:v>QA-0451</x:v>
      </x:c>
      <x:c r="B455" s="10" t="str">
        <x:v>T. API contract</x:v>
      </x:c>
      <x:c r="C455" s="10" t="str">
        <x:v>GET /api/staff/media</x:v>
      </x:c>
      <x:c r="D455" s="10" t="str">
        <x:v>/api/staff/media</x:v>
      </x:c>
      <x:c r="E455" s="10" t="str">
        <x:v>Technical tester</x:v>
      </x:c>
      <x:c r="F455" s="10" t="str">
        <x:v>P1</x:v>
      </x:c>
      <x:c r="G455" s="10" t="str">
        <x:v>Isolated only</x:v>
      </x:c>
      <x:c r="H455" s="10" t="str">
        <x:v>Isolated app/database; providers disabled or QA allowlist; exact request schema and fixture ID from current source/UI.</x:v>
      </x:c>
      <x:c r="I455" s="10" t="str">
        <x:v>Inspect route and delegated service contract for query/body/allowed actions. Capture a valid request from QA UI, replace dynamic IDs with owned fixture IDs, replay GET /api/staff/media once in isolated environment. Check status/body/headers and exact database/job effects.</x:v>
      </x:c>
      <x:c r="J455" s="10" t="str">
        <x:v>Valid supported request returns documented result; expected mutations only. Public/token endpoints follow their own policy; no assumption of a universal 200/401 response.</x:v>
      </x:c>
      <x:c r="K455" s="11" t="str"/>
      <x:c r="L455" s="11" t="str">
        <x:v>Not run</x:v>
      </x:c>
      <x:c r="M455" s="11" t="str"/>
      <x:c r="N455" s="11" t="str"/>
      <x:c r="O455" s="11" t="str"/>
      <x:c r="P455" s="11" t="str"/>
      <x:c r="Q455" s="11" t="str"/>
      <x:c r="R455" s="11" t="str"/>
      <x:c r="S455" s="10" t="str">
        <x:v>Sanitized HTTP request/response + before/after query</x:v>
      </x:c>
      <x:c r="T455" s="10" t="str">
        <x:v>src/app/api/staff/media/route.ts</x:v>
      </x:c>
      <x:c r="U455" s="10" t="str">
        <x:v>Reconcile tagged fixtures; archive/withdraw only owned test publications. Preserve audit/financial history.</x:v>
      </x:c>
      <x:c r="V455" s="12" t="str">
        <x:f>IF(A455="","",IF(L455="Not run","Pending",IF(OR(L455="Blocked",L455="Not deployed",L455="Not applicable"),IF(OR(K455="",R455=""),"Needs explanation","Recorded"),IF(OR(L455="Pass",L455="Fail"),IF(OR(K455="",M455="",P455=""),"Needs result/evidence/build","Recorded"),"Needs valid status"))))</x:f>
        <x:v>Pending</x:v>
      </x:c>
    </x:row>
    <x:row r="456" ht="52" customHeight="1">
      <x:c r="A456" s="10" t="str">
        <x:v>QA-0452</x:v>
      </x:c>
      <x:c r="B456" s="10" t="str">
        <x:v>T. API contract</x:v>
      </x:c>
      <x:c r="C456" s="10" t="str">
        <x:v>GET boundary: /api/staff/media</x:v>
      </x:c>
      <x:c r="D456" s="10" t="str">
        <x:v>/api/staff/media</x:v>
      </x:c>
      <x:c r="E456" s="10" t="str">
        <x:v>Technical tester</x:v>
      </x:c>
      <x:c r="F456" s="10" t="str">
        <x:v>P0</x:v>
      </x:c>
      <x:c r="G456" s="10" t="str">
        <x:v>Isolated only</x:v>
      </x:c>
      <x:c r="H456" s="10" t="str">
        <x:v>Record deployed build. Use assigned test accounts, synthetic data and approved fixtures/recipients only.</x:v>
      </x:c>
      <x:c r="I456" s="10" t="str">
        <x:v>Using isolated fixtures, replay GET /api/staff/media as anonymous, ordinary member, unrelated staff role and wrong owner as applicable. Test every current supported action separately; record authorization differences.</x:v>
      </x:c>
      <x:c r="J456" s="10" t="str">
        <x:v>Authorization matches action-specific grants/ownership/publication; authorized exceptions remain allowed and all unauthorized reads/writes denied without private leakage.</x:v>
      </x:c>
      <x:c r="K456" s="11" t="str"/>
      <x:c r="L456" s="11" t="str">
        <x:v>Not run</x:v>
      </x:c>
      <x:c r="M456" s="11" t="str"/>
      <x:c r="N456" s="11" t="str"/>
      <x:c r="O456" s="11" t="str"/>
      <x:c r="P456" s="11" t="str"/>
      <x:c r="Q456" s="11" t="str"/>
      <x:c r="R456" s="11" t="str"/>
      <x:c r="S456" s="10" t="str">
        <x:v>Role/request matrix + response + unchanged database</x:v>
      </x:c>
      <x:c r="T456" s="10" t="str">
        <x:v>src/app/api/staff/media/route.ts</x:v>
      </x:c>
      <x:c r="U456" s="10" t="str">
        <x:v>Reconcile tagged fixtures; archive/withdraw only owned test publications. Preserve audit/financial history.</x:v>
      </x:c>
      <x:c r="V456" s="12" t="str">
        <x:f>IF(A456="","",IF(L456="Not run","Pending",IF(OR(L456="Blocked",L456="Not deployed",L456="Not applicable"),IF(OR(K456="",R456=""),"Needs explanation","Recorded"),IF(OR(L456="Pass",L456="Fail"),IF(OR(K456="",M456="",P456=""),"Needs result/evidence/build","Recorded"),"Needs valid status"))))</x:f>
        <x:v>Pending</x:v>
      </x:c>
    </x:row>
    <x:row r="457" ht="66" customHeight="1">
      <x:c r="A457" s="10" t="str">
        <x:v>QA-0453</x:v>
      </x:c>
      <x:c r="B457" s="10" t="str">
        <x:v>T. API contract</x:v>
      </x:c>
      <x:c r="C457" s="10" t="str">
        <x:v>POST /api/staff/media</x:v>
      </x:c>
      <x:c r="D457" s="10" t="str">
        <x:v>/api/staff/media</x:v>
      </x:c>
      <x:c r="E457" s="10" t="str">
        <x:v>Technical tester</x:v>
      </x:c>
      <x:c r="F457" s="10" t="str">
        <x:v>P0</x:v>
      </x:c>
      <x:c r="G457" s="10" t="str">
        <x:v>Isolated only</x:v>
      </x:c>
      <x:c r="H457" s="10" t="str">
        <x:v>Isolated app/database; providers disabled or QA allowlist; exact request schema and fixture ID from current source/UI.</x:v>
      </x:c>
      <x:c r="I457" s="10" t="str">
        <x:v>Inspect route and delegated service contract for query/body/allowed actions. Capture a valid request from QA UI, replace dynamic IDs with owned fixture IDs, replay POST /api/staff/media once in isolated environment. Check status/body/headers and exact database/job effects.</x:v>
      </x:c>
      <x:c r="J457" s="10" t="str">
        <x:v>Valid supported request returns documented result; expected mutations only. Public/token endpoints follow their own policy; no assumption of a universal 200/401 response.</x:v>
      </x:c>
      <x:c r="K457" s="11" t="str"/>
      <x:c r="L457" s="11" t="str">
        <x:v>Not run</x:v>
      </x:c>
      <x:c r="M457" s="11" t="str"/>
      <x:c r="N457" s="11" t="str"/>
      <x:c r="O457" s="11" t="str"/>
      <x:c r="P457" s="11" t="str"/>
      <x:c r="Q457" s="11" t="str"/>
      <x:c r="R457" s="11" t="str"/>
      <x:c r="S457" s="10" t="str">
        <x:v>Sanitized HTTP request/response + before/after query</x:v>
      </x:c>
      <x:c r="T457" s="10" t="str">
        <x:v>src/app/api/staff/media/route.ts</x:v>
      </x:c>
      <x:c r="U457" s="10" t="str">
        <x:v>Reconcile tagged fixtures; archive/withdraw only owned test publications. Preserve audit/financial history.</x:v>
      </x:c>
      <x:c r="V457" s="12" t="str">
        <x:f>IF(A457="","",IF(L457="Not run","Pending",IF(OR(L457="Blocked",L457="Not deployed",L457="Not applicable"),IF(OR(K457="",R457=""),"Needs explanation","Recorded"),IF(OR(L457="Pass",L457="Fail"),IF(OR(K457="",M457="",P457=""),"Needs result/evidence/build","Recorded"),"Needs valid status"))))</x:f>
        <x:v>Pending</x:v>
      </x:c>
    </x:row>
    <x:row r="458" ht="52" customHeight="1">
      <x:c r="A458" s="10" t="str">
        <x:v>QA-0454</x:v>
      </x:c>
      <x:c r="B458" s="10" t="str">
        <x:v>T. API contract</x:v>
      </x:c>
      <x:c r="C458" s="10" t="str">
        <x:v>POST boundary: /api/staff/media</x:v>
      </x:c>
      <x:c r="D458" s="10" t="str">
        <x:v>/api/staff/media</x:v>
      </x:c>
      <x:c r="E458" s="10" t="str">
        <x:v>Technical tester</x:v>
      </x:c>
      <x:c r="F458" s="10" t="str">
        <x:v>P0</x:v>
      </x:c>
      <x:c r="G458" s="10" t="str">
        <x:v>Isolated only</x:v>
      </x:c>
      <x:c r="H458" s="10" t="str">
        <x:v>Record deployed build. Use assigned test accounts, synthetic data and approved fixtures/recipients only.</x:v>
      </x:c>
      <x:c r="I458" s="10" t="str">
        <x:v>Using isolated fixtures, replay POST /api/staff/media as anonymous, ordinary member, unrelated staff role and wrong owner as applicable. Test every current supported action separately; record authorization differences.</x:v>
      </x:c>
      <x:c r="J458" s="10" t="str">
        <x:v>Authorization matches action-specific grants/ownership/publication; authorized exceptions remain allowed and all unauthorized reads/writes denied without private leakage.</x:v>
      </x:c>
      <x:c r="K458" s="11" t="str"/>
      <x:c r="L458" s="11" t="str">
        <x:v>Not run</x:v>
      </x:c>
      <x:c r="M458" s="11" t="str"/>
      <x:c r="N458" s="11" t="str"/>
      <x:c r="O458" s="11" t="str"/>
      <x:c r="P458" s="11" t="str"/>
      <x:c r="Q458" s="11" t="str"/>
      <x:c r="R458" s="11" t="str"/>
      <x:c r="S458" s="10" t="str">
        <x:v>Role/request matrix + response + unchanged database</x:v>
      </x:c>
      <x:c r="T458" s="10" t="str">
        <x:v>src/app/api/staff/media/route.ts</x:v>
      </x:c>
      <x:c r="U458" s="10" t="str">
        <x:v>Reconcile tagged fixtures; archive/withdraw only owned test publications. Preserve audit/financial history.</x:v>
      </x:c>
      <x:c r="V458" s="12" t="str">
        <x:f>IF(A458="","",IF(L458="Not run","Pending",IF(OR(L458="Blocked",L458="Not deployed",L458="Not applicable"),IF(OR(K458="",R458=""),"Needs explanation","Recorded"),IF(OR(L458="Pass",L458="Fail"),IF(OR(K458="",M458="",P458=""),"Needs result/evidence/build","Recorded"),"Needs valid status"))))</x:f>
        <x:v>Pending</x:v>
      </x:c>
    </x:row>
    <x:row r="459" ht="66" customHeight="1">
      <x:c r="A459" s="10" t="str">
        <x:v>QA-0455</x:v>
      </x:c>
      <x:c r="B459" s="10" t="str">
        <x:v>T. API contract</x:v>
      </x:c>
      <x:c r="C459" s="10" t="str">
        <x:v>POST /api/staff/member-actions</x:v>
      </x:c>
      <x:c r="D459" s="10" t="str">
        <x:v>/api/staff/member-actions</x:v>
      </x:c>
      <x:c r="E459" s="10" t="str">
        <x:v>Technical tester</x:v>
      </x:c>
      <x:c r="F459" s="10" t="str">
        <x:v>P0</x:v>
      </x:c>
      <x:c r="G459" s="10" t="str">
        <x:v>Isolated only</x:v>
      </x:c>
      <x:c r="H459" s="10" t="str">
        <x:v>Isolated app/database; providers disabled or QA allowlist; exact request schema and fixture ID from current source/UI.</x:v>
      </x:c>
      <x:c r="I459" s="10" t="str">
        <x:v>Inspect route and delegated service contract for query/body/allowed actions. Capture a valid request from QA UI, replace dynamic IDs with owned fixture IDs, replay POST /api/staff/member-actions once in isolated environment. Check status/body/headers and exact database/job effects.</x:v>
      </x:c>
      <x:c r="J459" s="10" t="str">
        <x:v>Valid supported request returns documented result; expected mutations only. Public/token endpoints follow their own policy; no assumption of a universal 200/401 response.</x:v>
      </x:c>
      <x:c r="K459" s="11" t="str"/>
      <x:c r="L459" s="11" t="str">
        <x:v>Not run</x:v>
      </x:c>
      <x:c r="M459" s="11" t="str"/>
      <x:c r="N459" s="11" t="str"/>
      <x:c r="O459" s="11" t="str"/>
      <x:c r="P459" s="11" t="str"/>
      <x:c r="Q459" s="11" t="str"/>
      <x:c r="R459" s="11" t="str"/>
      <x:c r="S459" s="10" t="str">
        <x:v>Sanitized HTTP request/response + before/after query</x:v>
      </x:c>
      <x:c r="T459" s="10" t="str">
        <x:v>src/app/api/staff/member-actions/route.ts</x:v>
      </x:c>
      <x:c r="U459" s="10" t="str">
        <x:v>Reconcile tagged fixtures; archive/withdraw only owned test publications. Preserve audit/financial history.</x:v>
      </x:c>
      <x:c r="V459" s="12" t="str">
        <x:f>IF(A459="","",IF(L459="Not run","Pending",IF(OR(L459="Blocked",L459="Not deployed",L459="Not applicable"),IF(OR(K459="",R459=""),"Needs explanation","Recorded"),IF(OR(L459="Pass",L459="Fail"),IF(OR(K459="",M459="",P459=""),"Needs result/evidence/build","Recorded"),"Needs valid status"))))</x:f>
        <x:v>Pending</x:v>
      </x:c>
    </x:row>
    <x:row r="460" ht="52" customHeight="1">
      <x:c r="A460" s="10" t="str">
        <x:v>QA-0456</x:v>
      </x:c>
      <x:c r="B460" s="10" t="str">
        <x:v>T. API contract</x:v>
      </x:c>
      <x:c r="C460" s="10" t="str">
        <x:v>POST boundary: /api/staff/member-actions</x:v>
      </x:c>
      <x:c r="D460" s="10" t="str">
        <x:v>/api/staff/member-actions</x:v>
      </x:c>
      <x:c r="E460" s="10" t="str">
        <x:v>Technical tester</x:v>
      </x:c>
      <x:c r="F460" s="10" t="str">
        <x:v>P0</x:v>
      </x:c>
      <x:c r="G460" s="10" t="str">
        <x:v>Isolated only</x:v>
      </x:c>
      <x:c r="H460" s="10" t="str">
        <x:v>Record deployed build. Use assigned test accounts, synthetic data and approved fixtures/recipients only.</x:v>
      </x:c>
      <x:c r="I460" s="10" t="str">
        <x:v>Using isolated fixtures, replay POST /api/staff/member-actions as anonymous, ordinary member, unrelated staff role and wrong owner as applicable. Test every current supported action separately; record authorization differences.</x:v>
      </x:c>
      <x:c r="J460" s="10" t="str">
        <x:v>Authorization matches action-specific grants/ownership/publication; authorized exceptions remain allowed and all unauthorized reads/writes denied without private leakage.</x:v>
      </x:c>
      <x:c r="K460" s="11" t="str"/>
      <x:c r="L460" s="11" t="str">
        <x:v>Not run</x:v>
      </x:c>
      <x:c r="M460" s="11" t="str"/>
      <x:c r="N460" s="11" t="str"/>
      <x:c r="O460" s="11" t="str"/>
      <x:c r="P460" s="11" t="str"/>
      <x:c r="Q460" s="11" t="str"/>
      <x:c r="R460" s="11" t="str"/>
      <x:c r="S460" s="10" t="str">
        <x:v>Role/request matrix + response + unchanged database</x:v>
      </x:c>
      <x:c r="T460" s="10" t="str">
        <x:v>src/app/api/staff/member-actions/route.ts</x:v>
      </x:c>
      <x:c r="U460" s="10" t="str">
        <x:v>Reconcile tagged fixtures; archive/withdraw only owned test publications. Preserve audit/financial history.</x:v>
      </x:c>
      <x:c r="V460" s="12" t="str">
        <x:f>IF(A460="","",IF(L460="Not run","Pending",IF(OR(L460="Blocked",L460="Not deployed",L460="Not applicable"),IF(OR(K460="",R460=""),"Needs explanation","Recorded"),IF(OR(L460="Pass",L460="Fail"),IF(OR(K460="",M460="",P460=""),"Needs result/evidence/build","Recorded"),"Needs valid status"))))</x:f>
        <x:v>Pending</x:v>
      </x:c>
    </x:row>
    <x:row r="461" ht="66" customHeight="1">
      <x:c r="A461" s="10" t="str">
        <x:v>QA-0457</x:v>
      </x:c>
      <x:c r="B461" s="10" t="str">
        <x:v>T. API contract</x:v>
      </x:c>
      <x:c r="C461" s="10" t="str">
        <x:v>GET /api/staff/member-import-jobs</x:v>
      </x:c>
      <x:c r="D461" s="10" t="str">
        <x:v>/api/staff/member-import-jobs</x:v>
      </x:c>
      <x:c r="E461" s="10" t="str">
        <x:v>Technical tester</x:v>
      </x:c>
      <x:c r="F461" s="10" t="str">
        <x:v>P1</x:v>
      </x:c>
      <x:c r="G461" s="10" t="str">
        <x:v>Isolated only</x:v>
      </x:c>
      <x:c r="H461" s="10" t="str">
        <x:v>Isolated app/database; providers disabled or QA allowlist; exact request schema and fixture ID from current source/UI.</x:v>
      </x:c>
      <x:c r="I461" s="10" t="str">
        <x:v>Inspect route and delegated service contract for query/body/allowed actions. Capture a valid request from QA UI, replace dynamic IDs with owned fixture IDs, replay GET /api/staff/member-import-jobs once in isolated environment. Check status/body/headers and exact database/job effects.</x:v>
      </x:c>
      <x:c r="J461" s="10" t="str">
        <x:v>Valid supported request returns documented result; expected mutations only. Public/token endpoints follow their own policy; no assumption of a universal 200/401 response.</x:v>
      </x:c>
      <x:c r="K461" s="11" t="str"/>
      <x:c r="L461" s="11" t="str">
        <x:v>Not run</x:v>
      </x:c>
      <x:c r="M461" s="11" t="str"/>
      <x:c r="N461" s="11" t="str"/>
      <x:c r="O461" s="11" t="str"/>
      <x:c r="P461" s="11" t="str"/>
      <x:c r="Q461" s="11" t="str"/>
      <x:c r="R461" s="11" t="str"/>
      <x:c r="S461" s="10" t="str">
        <x:v>Sanitized HTTP request/response + before/after query</x:v>
      </x:c>
      <x:c r="T461" s="10" t="str">
        <x:v>src/app/api/staff/member-import-jobs/route.ts</x:v>
      </x:c>
      <x:c r="U461" s="10" t="str">
        <x:v>Reconcile tagged fixtures; archive/withdraw only owned test publications. Preserve audit/financial history.</x:v>
      </x:c>
      <x:c r="V461" s="12" t="str">
        <x:f>IF(A461="","",IF(L461="Not run","Pending",IF(OR(L461="Blocked",L461="Not deployed",L461="Not applicable"),IF(OR(K461="",R461=""),"Needs explanation","Recorded"),IF(OR(L461="Pass",L461="Fail"),IF(OR(K461="",M461="",P461=""),"Needs result/evidence/build","Recorded"),"Needs valid status"))))</x:f>
        <x:v>Pending</x:v>
      </x:c>
    </x:row>
    <x:row r="462" ht="52" customHeight="1">
      <x:c r="A462" s="10" t="str">
        <x:v>QA-0458</x:v>
      </x:c>
      <x:c r="B462" s="10" t="str">
        <x:v>T. API contract</x:v>
      </x:c>
      <x:c r="C462" s="10" t="str">
        <x:v>GET boundary: /api/staff/member-import-jobs</x:v>
      </x:c>
      <x:c r="D462" s="10" t="str">
        <x:v>/api/staff/member-import-jobs</x:v>
      </x:c>
      <x:c r="E462" s="10" t="str">
        <x:v>Technical tester</x:v>
      </x:c>
      <x:c r="F462" s="10" t="str">
        <x:v>P0</x:v>
      </x:c>
      <x:c r="G462" s="10" t="str">
        <x:v>Isolated only</x:v>
      </x:c>
      <x:c r="H462" s="10" t="str">
        <x:v>Record deployed build. Use assigned test accounts, synthetic data and approved fixtures/recipients only.</x:v>
      </x:c>
      <x:c r="I462" s="10" t="str">
        <x:v>Using isolated fixtures, replay GET /api/staff/member-import-jobs as anonymous, ordinary member, unrelated staff role and wrong owner as applicable. Test every current supported action separately; record authorization differences.</x:v>
      </x:c>
      <x:c r="J462" s="10" t="str">
        <x:v>Authorization matches action-specific grants/ownership/publication; authorized exceptions remain allowed and all unauthorized reads/writes denied without private leakage.</x:v>
      </x:c>
      <x:c r="K462" s="11" t="str"/>
      <x:c r="L462" s="11" t="str">
        <x:v>Not run</x:v>
      </x:c>
      <x:c r="M462" s="11" t="str"/>
      <x:c r="N462" s="11" t="str"/>
      <x:c r="O462" s="11" t="str"/>
      <x:c r="P462" s="11" t="str"/>
      <x:c r="Q462" s="11" t="str"/>
      <x:c r="R462" s="11" t="str"/>
      <x:c r="S462" s="10" t="str">
        <x:v>Role/request matrix + response + unchanged database</x:v>
      </x:c>
      <x:c r="T462" s="10" t="str">
        <x:v>src/app/api/staff/member-import-jobs/route.ts</x:v>
      </x:c>
      <x:c r="U462" s="10" t="str">
        <x:v>Reconcile tagged fixtures; archive/withdraw only owned test publications. Preserve audit/financial history.</x:v>
      </x:c>
      <x:c r="V462" s="12" t="str">
        <x:f>IF(A462="","",IF(L462="Not run","Pending",IF(OR(L462="Blocked",L462="Not deployed",L462="Not applicable"),IF(OR(K462="",R462=""),"Needs explanation","Recorded"),IF(OR(L462="Pass",L462="Fail"),IF(OR(K462="",M462="",P462=""),"Needs result/evidence/build","Recorded"),"Needs valid status"))))</x:f>
        <x:v>Pending</x:v>
      </x:c>
    </x:row>
    <x:row r="463" ht="66" customHeight="1">
      <x:c r="A463" s="10" t="str">
        <x:v>QA-0459</x:v>
      </x:c>
      <x:c r="B463" s="10" t="str">
        <x:v>T. API contract</x:v>
      </x:c>
      <x:c r="C463" s="10" t="str">
        <x:v>POST /api/staff/member-import-jobs</x:v>
      </x:c>
      <x:c r="D463" s="10" t="str">
        <x:v>/api/staff/member-import-jobs</x:v>
      </x:c>
      <x:c r="E463" s="10" t="str">
        <x:v>Technical tester</x:v>
      </x:c>
      <x:c r="F463" s="10" t="str">
        <x:v>P0</x:v>
      </x:c>
      <x:c r="G463" s="10" t="str">
        <x:v>Isolated only</x:v>
      </x:c>
      <x:c r="H463" s="10" t="str">
        <x:v>Isolated app/database; providers disabled or QA allowlist; exact request schema and fixture ID from current source/UI.</x:v>
      </x:c>
      <x:c r="I463" s="10" t="str">
        <x:v>Inspect route and delegated service contract for query/body/allowed actions. Capture a valid request from QA UI, replace dynamic IDs with owned fixture IDs, replay POST /api/staff/member-import-jobs once in isolated environment. Check status/body/headers and exact database/job effects.</x:v>
      </x:c>
      <x:c r="J463" s="10" t="str">
        <x:v>Valid supported request returns documented result; expected mutations only. Public/token endpoints follow their own policy; no assumption of a universal 200/401 response.</x:v>
      </x:c>
      <x:c r="K463" s="11" t="str"/>
      <x:c r="L463" s="11" t="str">
        <x:v>Not run</x:v>
      </x:c>
      <x:c r="M463" s="11" t="str"/>
      <x:c r="N463" s="11" t="str"/>
      <x:c r="O463" s="11" t="str"/>
      <x:c r="P463" s="11" t="str"/>
      <x:c r="Q463" s="11" t="str"/>
      <x:c r="R463" s="11" t="str"/>
      <x:c r="S463" s="10" t="str">
        <x:v>Sanitized HTTP request/response + before/after query</x:v>
      </x:c>
      <x:c r="T463" s="10" t="str">
        <x:v>src/app/api/staff/member-import-jobs/route.ts</x:v>
      </x:c>
      <x:c r="U463" s="10" t="str">
        <x:v>Reconcile tagged fixtures; archive/withdraw only owned test publications. Preserve audit/financial history.</x:v>
      </x:c>
      <x:c r="V463" s="12" t="str">
        <x:f>IF(A463="","",IF(L463="Not run","Pending",IF(OR(L463="Blocked",L463="Not deployed",L463="Not applicable"),IF(OR(K463="",R463=""),"Needs explanation","Recorded"),IF(OR(L463="Pass",L463="Fail"),IF(OR(K463="",M463="",P463=""),"Needs result/evidence/build","Recorded"),"Needs valid status"))))</x:f>
        <x:v>Pending</x:v>
      </x:c>
    </x:row>
    <x:row r="464" ht="52" customHeight="1">
      <x:c r="A464" s="10" t="str">
        <x:v>QA-0460</x:v>
      </x:c>
      <x:c r="B464" s="10" t="str">
        <x:v>T. API contract</x:v>
      </x:c>
      <x:c r="C464" s="10" t="str">
        <x:v>POST boundary: /api/staff/member-import-jobs</x:v>
      </x:c>
      <x:c r="D464" s="10" t="str">
        <x:v>/api/staff/member-import-jobs</x:v>
      </x:c>
      <x:c r="E464" s="10" t="str">
        <x:v>Technical tester</x:v>
      </x:c>
      <x:c r="F464" s="10" t="str">
        <x:v>P0</x:v>
      </x:c>
      <x:c r="G464" s="10" t="str">
        <x:v>Isolated only</x:v>
      </x:c>
      <x:c r="H464" s="10" t="str">
        <x:v>Record deployed build. Use assigned test accounts, synthetic data and approved fixtures/recipients only.</x:v>
      </x:c>
      <x:c r="I464" s="10" t="str">
        <x:v>Using isolated fixtures, replay POST /api/staff/member-import-jobs as anonymous, ordinary member, unrelated staff role and wrong owner as applicable. Test every current supported action separately; record authorization differences.</x:v>
      </x:c>
      <x:c r="J464" s="10" t="str">
        <x:v>Authorization matches action-specific grants/ownership/publication; authorized exceptions remain allowed and all unauthorized reads/writes denied without private leakage.</x:v>
      </x:c>
      <x:c r="K464" s="11" t="str"/>
      <x:c r="L464" s="11" t="str">
        <x:v>Not run</x:v>
      </x:c>
      <x:c r="M464" s="11" t="str"/>
      <x:c r="N464" s="11" t="str"/>
      <x:c r="O464" s="11" t="str"/>
      <x:c r="P464" s="11" t="str"/>
      <x:c r="Q464" s="11" t="str"/>
      <x:c r="R464" s="11" t="str"/>
      <x:c r="S464" s="10" t="str">
        <x:v>Role/request matrix + response + unchanged database</x:v>
      </x:c>
      <x:c r="T464" s="10" t="str">
        <x:v>src/app/api/staff/member-import-jobs/route.ts</x:v>
      </x:c>
      <x:c r="U464" s="10" t="str">
        <x:v>Reconcile tagged fixtures; archive/withdraw only owned test publications. Preserve audit/financial history.</x:v>
      </x:c>
      <x:c r="V464" s="12" t="str">
        <x:f>IF(A464="","",IF(L464="Not run","Pending",IF(OR(L464="Blocked",L464="Not deployed",L464="Not applicable"),IF(OR(K464="",R464=""),"Needs explanation","Recorded"),IF(OR(L464="Pass",L464="Fail"),IF(OR(K464="",M464="",P464=""),"Needs result/evidence/build","Recorded"),"Needs valid status"))))</x:f>
        <x:v>Pending</x:v>
      </x:c>
    </x:row>
    <x:row r="465" ht="66" customHeight="1">
      <x:c r="A465" s="10" t="str">
        <x:v>QA-0461</x:v>
      </x:c>
      <x:c r="B465" s="10" t="str">
        <x:v>T. API contract</x:v>
      </x:c>
      <x:c r="C465" s="10" t="str">
        <x:v>GET /api/staff/members</x:v>
      </x:c>
      <x:c r="D465" s="10" t="str">
        <x:v>/api/staff/members</x:v>
      </x:c>
      <x:c r="E465" s="10" t="str">
        <x:v>Technical tester</x:v>
      </x:c>
      <x:c r="F465" s="10" t="str">
        <x:v>P1</x:v>
      </x:c>
      <x:c r="G465" s="10" t="str">
        <x:v>Isolated only</x:v>
      </x:c>
      <x:c r="H465" s="10" t="str">
        <x:v>Isolated app/database; providers disabled or QA allowlist; exact request schema and fixture ID from current source/UI.</x:v>
      </x:c>
      <x:c r="I465" s="10" t="str">
        <x:v>Inspect route and delegated service contract for query/body/allowed actions. Capture a valid request from QA UI, replace dynamic IDs with owned fixture IDs, replay GET /api/staff/members once in isolated environment. Check status/body/headers and exact database/job effects.</x:v>
      </x:c>
      <x:c r="J465" s="10" t="str">
        <x:v>Valid supported request returns documented result; expected mutations only. Public/token endpoints follow their own policy; no assumption of a universal 200/401 response.</x:v>
      </x:c>
      <x:c r="K465" s="11" t="str"/>
      <x:c r="L465" s="11" t="str">
        <x:v>Not run</x:v>
      </x:c>
      <x:c r="M465" s="11" t="str"/>
      <x:c r="N465" s="11" t="str"/>
      <x:c r="O465" s="11" t="str"/>
      <x:c r="P465" s="11" t="str"/>
      <x:c r="Q465" s="11" t="str"/>
      <x:c r="R465" s="11" t="str"/>
      <x:c r="S465" s="10" t="str">
        <x:v>Sanitized HTTP request/response + before/after query</x:v>
      </x:c>
      <x:c r="T465" s="10" t="str">
        <x:v>src/app/api/staff/members/route.ts</x:v>
      </x:c>
      <x:c r="U465" s="10" t="str">
        <x:v>Reconcile tagged fixtures; archive/withdraw only owned test publications. Preserve audit/financial history.</x:v>
      </x:c>
      <x:c r="V465" s="12" t="str">
        <x:f>IF(A465="","",IF(L465="Not run","Pending",IF(OR(L465="Blocked",L465="Not deployed",L465="Not applicable"),IF(OR(K465="",R465=""),"Needs explanation","Recorded"),IF(OR(L465="Pass",L465="Fail"),IF(OR(K465="",M465="",P465=""),"Needs result/evidence/build","Recorded"),"Needs valid status"))))</x:f>
        <x:v>Pending</x:v>
      </x:c>
    </x:row>
    <x:row r="466" ht="52" customHeight="1">
      <x:c r="A466" s="10" t="str">
        <x:v>QA-0462</x:v>
      </x:c>
      <x:c r="B466" s="10" t="str">
        <x:v>T. API contract</x:v>
      </x:c>
      <x:c r="C466" s="10" t="str">
        <x:v>GET boundary: /api/staff/members</x:v>
      </x:c>
      <x:c r="D466" s="10" t="str">
        <x:v>/api/staff/members</x:v>
      </x:c>
      <x:c r="E466" s="10" t="str">
        <x:v>Technical tester</x:v>
      </x:c>
      <x:c r="F466" s="10" t="str">
        <x:v>P0</x:v>
      </x:c>
      <x:c r="G466" s="10" t="str">
        <x:v>Isolated only</x:v>
      </x:c>
      <x:c r="H466" s="10" t="str">
        <x:v>Record deployed build. Use assigned test accounts, synthetic data and approved fixtures/recipients only.</x:v>
      </x:c>
      <x:c r="I466" s="10" t="str">
        <x:v>Using isolated fixtures, replay GET /api/staff/members as anonymous, ordinary member, unrelated staff role and wrong owner as applicable. Test every current supported action separately; record authorization differences.</x:v>
      </x:c>
      <x:c r="J466" s="10" t="str">
        <x:v>Authorization matches action-specific grants/ownership/publication; authorized exceptions remain allowed and all unauthorized reads/writes denied without private leakage.</x:v>
      </x:c>
      <x:c r="K466" s="11" t="str"/>
      <x:c r="L466" s="11" t="str">
        <x:v>Not run</x:v>
      </x:c>
      <x:c r="M466" s="11" t="str"/>
      <x:c r="N466" s="11" t="str"/>
      <x:c r="O466" s="11" t="str"/>
      <x:c r="P466" s="11" t="str"/>
      <x:c r="Q466" s="11" t="str"/>
      <x:c r="R466" s="11" t="str"/>
      <x:c r="S466" s="10" t="str">
        <x:v>Role/request matrix + response + unchanged database</x:v>
      </x:c>
      <x:c r="T466" s="10" t="str">
        <x:v>src/app/api/staff/members/route.ts</x:v>
      </x:c>
      <x:c r="U466" s="10" t="str">
        <x:v>Reconcile tagged fixtures; archive/withdraw only owned test publications. Preserve audit/financial history.</x:v>
      </x:c>
      <x:c r="V466" s="12" t="str">
        <x:f>IF(A466="","",IF(L466="Not run","Pending",IF(OR(L466="Blocked",L466="Not deployed",L466="Not applicable"),IF(OR(K466="",R466=""),"Needs explanation","Recorded"),IF(OR(L466="Pass",L466="Fail"),IF(OR(K466="",M466="",P466=""),"Needs result/evidence/build","Recorded"),"Needs valid status"))))</x:f>
        <x:v>Pending</x:v>
      </x:c>
    </x:row>
    <x:row r="467" ht="66" customHeight="1">
      <x:c r="A467" s="10" t="str">
        <x:v>QA-0463</x:v>
      </x:c>
      <x:c r="B467" s="10" t="str">
        <x:v>T. API contract</x:v>
      </x:c>
      <x:c r="C467" s="10" t="str">
        <x:v>POST /api/staff/members</x:v>
      </x:c>
      <x:c r="D467" s="10" t="str">
        <x:v>/api/staff/members</x:v>
      </x:c>
      <x:c r="E467" s="10" t="str">
        <x:v>Technical tester</x:v>
      </x:c>
      <x:c r="F467" s="10" t="str">
        <x:v>P0</x:v>
      </x:c>
      <x:c r="G467" s="10" t="str">
        <x:v>Isolated only</x:v>
      </x:c>
      <x:c r="H467" s="10" t="str">
        <x:v>Isolated app/database; providers disabled or QA allowlist; exact request schema and fixture ID from current source/UI.</x:v>
      </x:c>
      <x:c r="I467" s="10" t="str">
        <x:v>Inspect route and delegated service contract for query/body/allowed actions. Capture a valid request from QA UI, replace dynamic IDs with owned fixture IDs, replay POST /api/staff/members once in isolated environment. Check status/body/headers and exact database/job effects.</x:v>
      </x:c>
      <x:c r="J467" s="10" t="str">
        <x:v>Valid supported request returns documented result; expected mutations only. Public/token endpoints follow their own policy; no assumption of a universal 200/401 response.</x:v>
      </x:c>
      <x:c r="K467" s="11" t="str"/>
      <x:c r="L467" s="11" t="str">
        <x:v>Not run</x:v>
      </x:c>
      <x:c r="M467" s="11" t="str"/>
      <x:c r="N467" s="11" t="str"/>
      <x:c r="O467" s="11" t="str"/>
      <x:c r="P467" s="11" t="str"/>
      <x:c r="Q467" s="11" t="str"/>
      <x:c r="R467" s="11" t="str"/>
      <x:c r="S467" s="10" t="str">
        <x:v>Sanitized HTTP request/response + before/after query</x:v>
      </x:c>
      <x:c r="T467" s="10" t="str">
        <x:v>src/app/api/staff/members/route.ts</x:v>
      </x:c>
      <x:c r="U467" s="10" t="str">
        <x:v>Reconcile tagged fixtures; archive/withdraw only owned test publications. Preserve audit/financial history.</x:v>
      </x:c>
      <x:c r="V467" s="12" t="str">
        <x:f>IF(A467="","",IF(L467="Not run","Pending",IF(OR(L467="Blocked",L467="Not deployed",L467="Not applicable"),IF(OR(K467="",R467=""),"Needs explanation","Recorded"),IF(OR(L467="Pass",L467="Fail"),IF(OR(K467="",M467="",P467=""),"Needs result/evidence/build","Recorded"),"Needs valid status"))))</x:f>
        <x:v>Pending</x:v>
      </x:c>
    </x:row>
    <x:row r="468" ht="52" customHeight="1">
      <x:c r="A468" s="10" t="str">
        <x:v>QA-0464</x:v>
      </x:c>
      <x:c r="B468" s="10" t="str">
        <x:v>T. API contract</x:v>
      </x:c>
      <x:c r="C468" s="10" t="str">
        <x:v>POST boundary: /api/staff/members</x:v>
      </x:c>
      <x:c r="D468" s="10" t="str">
        <x:v>/api/staff/members</x:v>
      </x:c>
      <x:c r="E468" s="10" t="str">
        <x:v>Technical tester</x:v>
      </x:c>
      <x:c r="F468" s="10" t="str">
        <x:v>P0</x:v>
      </x:c>
      <x:c r="G468" s="10" t="str">
        <x:v>Isolated only</x:v>
      </x:c>
      <x:c r="H468" s="10" t="str">
        <x:v>Record deployed build. Use assigned test accounts, synthetic data and approved fixtures/recipients only.</x:v>
      </x:c>
      <x:c r="I468" s="10" t="str">
        <x:v>Using isolated fixtures, replay POST /api/staff/members as anonymous, ordinary member, unrelated staff role and wrong owner as applicable. Test every current supported action separately; record authorization differences.</x:v>
      </x:c>
      <x:c r="J468" s="10" t="str">
        <x:v>Authorization matches action-specific grants/ownership/publication; authorized exceptions remain allowed and all unauthorized reads/writes denied without private leakage.</x:v>
      </x:c>
      <x:c r="K468" s="11" t="str"/>
      <x:c r="L468" s="11" t="str">
        <x:v>Not run</x:v>
      </x:c>
      <x:c r="M468" s="11" t="str"/>
      <x:c r="N468" s="11" t="str"/>
      <x:c r="O468" s="11" t="str"/>
      <x:c r="P468" s="11" t="str"/>
      <x:c r="Q468" s="11" t="str"/>
      <x:c r="R468" s="11" t="str"/>
      <x:c r="S468" s="10" t="str">
        <x:v>Role/request matrix + response + unchanged database</x:v>
      </x:c>
      <x:c r="T468" s="10" t="str">
        <x:v>src/app/api/staff/members/route.ts</x:v>
      </x:c>
      <x:c r="U468" s="10" t="str">
        <x:v>Reconcile tagged fixtures; archive/withdraw only owned test publications. Preserve audit/financial history.</x:v>
      </x:c>
      <x:c r="V468" s="12" t="str">
        <x:f>IF(A468="","",IF(L468="Not run","Pending",IF(OR(L468="Blocked",L468="Not deployed",L468="Not applicable"),IF(OR(K468="",R468=""),"Needs explanation","Recorded"),IF(OR(L468="Pass",L468="Fail"),IF(OR(K468="",M468="",P468=""),"Needs result/evidence/build","Recorded"),"Needs valid status"))))</x:f>
        <x:v>Pending</x:v>
      </x:c>
    </x:row>
    <x:row r="469" ht="66" customHeight="1">
      <x:c r="A469" s="10" t="str">
        <x:v>QA-0465</x:v>
      </x:c>
      <x:c r="B469" s="10" t="str">
        <x:v>T. API contract</x:v>
      </x:c>
      <x:c r="C469" s="10" t="str">
        <x:v>GET /api/staff/news-sources</x:v>
      </x:c>
      <x:c r="D469" s="10" t="str">
        <x:v>/api/staff/news-sources</x:v>
      </x:c>
      <x:c r="E469" s="10" t="str">
        <x:v>Technical tester</x:v>
      </x:c>
      <x:c r="F469" s="10" t="str">
        <x:v>P1</x:v>
      </x:c>
      <x:c r="G469" s="10" t="str">
        <x:v>Isolated only</x:v>
      </x:c>
      <x:c r="H469" s="10" t="str">
        <x:v>Isolated app/database; providers disabled or QA allowlist; exact request schema and fixture ID from current source/UI.</x:v>
      </x:c>
      <x:c r="I469" s="10" t="str">
        <x:v>Inspect route and delegated service contract for query/body/allowed actions. Capture a valid request from QA UI, replace dynamic IDs with owned fixture IDs, replay GET /api/staff/news-sources once in isolated environment. Check status/body/headers and exact database/job effects.</x:v>
      </x:c>
      <x:c r="J469" s="10" t="str">
        <x:v>Valid supported request returns documented result; expected mutations only. Public/token endpoints follow their own policy; no assumption of a universal 200/401 response.</x:v>
      </x:c>
      <x:c r="K469" s="11" t="str"/>
      <x:c r="L469" s="11" t="str">
        <x:v>Not run</x:v>
      </x:c>
      <x:c r="M469" s="11" t="str"/>
      <x:c r="N469" s="11" t="str"/>
      <x:c r="O469" s="11" t="str"/>
      <x:c r="P469" s="11" t="str"/>
      <x:c r="Q469" s="11" t="str"/>
      <x:c r="R469" s="11" t="str"/>
      <x:c r="S469" s="10" t="str">
        <x:v>Sanitized HTTP request/response + before/after query</x:v>
      </x:c>
      <x:c r="T469" s="10" t="str">
        <x:v>src/app/api/staff/news-sources/route.ts</x:v>
      </x:c>
      <x:c r="U469" s="10" t="str">
        <x:v>Reconcile tagged fixtures; archive/withdraw only owned test publications. Preserve audit/financial history.</x:v>
      </x:c>
      <x:c r="V469" s="12" t="str">
        <x:f>IF(A469="","",IF(L469="Not run","Pending",IF(OR(L469="Blocked",L469="Not deployed",L469="Not applicable"),IF(OR(K469="",R469=""),"Needs explanation","Recorded"),IF(OR(L469="Pass",L469="Fail"),IF(OR(K469="",M469="",P469=""),"Needs result/evidence/build","Recorded"),"Needs valid status"))))</x:f>
        <x:v>Pending</x:v>
      </x:c>
    </x:row>
    <x:row r="470" ht="52" customHeight="1">
      <x:c r="A470" s="10" t="str">
        <x:v>QA-0466</x:v>
      </x:c>
      <x:c r="B470" s="10" t="str">
        <x:v>T. API contract</x:v>
      </x:c>
      <x:c r="C470" s="10" t="str">
        <x:v>GET boundary: /api/staff/news-sources</x:v>
      </x:c>
      <x:c r="D470" s="10" t="str">
        <x:v>/api/staff/news-sources</x:v>
      </x:c>
      <x:c r="E470" s="10" t="str">
        <x:v>Technical tester</x:v>
      </x:c>
      <x:c r="F470" s="10" t="str">
        <x:v>P0</x:v>
      </x:c>
      <x:c r="G470" s="10" t="str">
        <x:v>Isolated only</x:v>
      </x:c>
      <x:c r="H470" s="10" t="str">
        <x:v>Record deployed build. Use assigned test accounts, synthetic data and approved fixtures/recipients only.</x:v>
      </x:c>
      <x:c r="I470" s="10" t="str">
        <x:v>Using isolated fixtures, replay GET /api/staff/news-sources as anonymous, ordinary member, unrelated staff role and wrong owner as applicable. Test every current supported action separately; record authorization differences.</x:v>
      </x:c>
      <x:c r="J470" s="10" t="str">
        <x:v>Authorization matches action-specific grants/ownership/publication; authorized exceptions remain allowed and all unauthorized reads/writes denied without private leakage.</x:v>
      </x:c>
      <x:c r="K470" s="11" t="str"/>
      <x:c r="L470" s="11" t="str">
        <x:v>Not run</x:v>
      </x:c>
      <x:c r="M470" s="11" t="str"/>
      <x:c r="N470" s="11" t="str"/>
      <x:c r="O470" s="11" t="str"/>
      <x:c r="P470" s="11" t="str"/>
      <x:c r="Q470" s="11" t="str"/>
      <x:c r="R470" s="11" t="str"/>
      <x:c r="S470" s="10" t="str">
        <x:v>Role/request matrix + response + unchanged database</x:v>
      </x:c>
      <x:c r="T470" s="10" t="str">
        <x:v>src/app/api/staff/news-sources/route.ts</x:v>
      </x:c>
      <x:c r="U470" s="10" t="str">
        <x:v>Reconcile tagged fixtures; archive/withdraw only owned test publications. Preserve audit/financial history.</x:v>
      </x:c>
      <x:c r="V470" s="12" t="str">
        <x:f>IF(A470="","",IF(L470="Not run","Pending",IF(OR(L470="Blocked",L470="Not deployed",L470="Not applicable"),IF(OR(K470="",R470=""),"Needs explanation","Recorded"),IF(OR(L470="Pass",L470="Fail"),IF(OR(K470="",M470="",P470=""),"Needs result/evidence/build","Recorded"),"Needs valid status"))))</x:f>
        <x:v>Pending</x:v>
      </x:c>
    </x:row>
    <x:row r="471" ht="66" customHeight="1">
      <x:c r="A471" s="10" t="str">
        <x:v>QA-0467</x:v>
      </x:c>
      <x:c r="B471" s="10" t="str">
        <x:v>T. API contract</x:v>
      </x:c>
      <x:c r="C471" s="10" t="str">
        <x:v>POST /api/staff/news-sources</x:v>
      </x:c>
      <x:c r="D471" s="10" t="str">
        <x:v>/api/staff/news-sources</x:v>
      </x:c>
      <x:c r="E471" s="10" t="str">
        <x:v>Technical tester</x:v>
      </x:c>
      <x:c r="F471" s="10" t="str">
        <x:v>P0</x:v>
      </x:c>
      <x:c r="G471" s="10" t="str">
        <x:v>Isolated only</x:v>
      </x:c>
      <x:c r="H471" s="10" t="str">
        <x:v>Isolated app/database; providers disabled or QA allowlist; exact request schema and fixture ID from current source/UI.</x:v>
      </x:c>
      <x:c r="I471" s="10" t="str">
        <x:v>Inspect route and delegated service contract for query/body/allowed actions. Capture a valid request from QA UI, replace dynamic IDs with owned fixture IDs, replay POST /api/staff/news-sources once in isolated environment. Check status/body/headers and exact database/job effects.</x:v>
      </x:c>
      <x:c r="J471" s="10" t="str">
        <x:v>Valid supported request returns documented result; expected mutations only. Public/token endpoints follow their own policy; no assumption of a universal 200/401 response.</x:v>
      </x:c>
      <x:c r="K471" s="11" t="str"/>
      <x:c r="L471" s="11" t="str">
        <x:v>Not run</x:v>
      </x:c>
      <x:c r="M471" s="11" t="str"/>
      <x:c r="N471" s="11" t="str"/>
      <x:c r="O471" s="11" t="str"/>
      <x:c r="P471" s="11" t="str"/>
      <x:c r="Q471" s="11" t="str"/>
      <x:c r="R471" s="11" t="str"/>
      <x:c r="S471" s="10" t="str">
        <x:v>Sanitized HTTP request/response + before/after query</x:v>
      </x:c>
      <x:c r="T471" s="10" t="str">
        <x:v>src/app/api/staff/news-sources/route.ts</x:v>
      </x:c>
      <x:c r="U471" s="10" t="str">
        <x:v>Reconcile tagged fixtures; archive/withdraw only owned test publications. Preserve audit/financial history.</x:v>
      </x:c>
      <x:c r="V471" s="12" t="str">
        <x:f>IF(A471="","",IF(L471="Not run","Pending",IF(OR(L471="Blocked",L471="Not deployed",L471="Not applicable"),IF(OR(K471="",R471=""),"Needs explanation","Recorded"),IF(OR(L471="Pass",L471="Fail"),IF(OR(K471="",M471="",P471=""),"Needs result/evidence/build","Recorded"),"Needs valid status"))))</x:f>
        <x:v>Pending</x:v>
      </x:c>
    </x:row>
    <x:row r="472" ht="52" customHeight="1">
      <x:c r="A472" s="10" t="str">
        <x:v>QA-0468</x:v>
      </x:c>
      <x:c r="B472" s="10" t="str">
        <x:v>T. API contract</x:v>
      </x:c>
      <x:c r="C472" s="10" t="str">
        <x:v>POST boundary: /api/staff/news-sources</x:v>
      </x:c>
      <x:c r="D472" s="10" t="str">
        <x:v>/api/staff/news-sources</x:v>
      </x:c>
      <x:c r="E472" s="10" t="str">
        <x:v>Technical tester</x:v>
      </x:c>
      <x:c r="F472" s="10" t="str">
        <x:v>P0</x:v>
      </x:c>
      <x:c r="G472" s="10" t="str">
        <x:v>Isolated only</x:v>
      </x:c>
      <x:c r="H472" s="10" t="str">
        <x:v>Record deployed build. Use assigned test accounts, synthetic data and approved fixtures/recipients only.</x:v>
      </x:c>
      <x:c r="I472" s="10" t="str">
        <x:v>Using isolated fixtures, replay POST /api/staff/news-sources as anonymous, ordinary member, unrelated staff role and wrong owner as applicable. Test every current supported action separately; record authorization differences.</x:v>
      </x:c>
      <x:c r="J472" s="10" t="str">
        <x:v>Authorization matches action-specific grants/ownership/publication; authorized exceptions remain allowed and all unauthorized reads/writes denied without private leakage.</x:v>
      </x:c>
      <x:c r="K472" s="11" t="str"/>
      <x:c r="L472" s="11" t="str">
        <x:v>Not run</x:v>
      </x:c>
      <x:c r="M472" s="11" t="str"/>
      <x:c r="N472" s="11" t="str"/>
      <x:c r="O472" s="11" t="str"/>
      <x:c r="P472" s="11" t="str"/>
      <x:c r="Q472" s="11" t="str"/>
      <x:c r="R472" s="11" t="str"/>
      <x:c r="S472" s="10" t="str">
        <x:v>Role/request matrix + response + unchanged database</x:v>
      </x:c>
      <x:c r="T472" s="10" t="str">
        <x:v>src/app/api/staff/news-sources/route.ts</x:v>
      </x:c>
      <x:c r="U472" s="10" t="str">
        <x:v>Reconcile tagged fixtures; archive/withdraw only owned test publications. Preserve audit/financial history.</x:v>
      </x:c>
      <x:c r="V472" s="12" t="str">
        <x:f>IF(A472="","",IF(L472="Not run","Pending",IF(OR(L472="Blocked",L472="Not deployed",L472="Not applicable"),IF(OR(K472="",R472=""),"Needs explanation","Recorded"),IF(OR(L472="Pass",L472="Fail"),IF(OR(K472="",M472="",P472=""),"Needs result/evidence/build","Recorded"),"Needs valid status"))))</x:f>
        <x:v>Pending</x:v>
      </x:c>
    </x:row>
    <x:row r="473" ht="66" customHeight="1">
      <x:c r="A473" s="10" t="str">
        <x:v>QA-0469</x:v>
      </x:c>
      <x:c r="B473" s="10" t="str">
        <x:v>T. API contract</x:v>
      </x:c>
      <x:c r="C473" s="10" t="str">
        <x:v>GET /api/staff/onboarding-email</x:v>
      </x:c>
      <x:c r="D473" s="10" t="str">
        <x:v>/api/staff/onboarding-email</x:v>
      </x:c>
      <x:c r="E473" s="10" t="str">
        <x:v>Technical tester</x:v>
      </x:c>
      <x:c r="F473" s="10" t="str">
        <x:v>P1</x:v>
      </x:c>
      <x:c r="G473" s="10" t="str">
        <x:v>Isolated only</x:v>
      </x:c>
      <x:c r="H473" s="10" t="str">
        <x:v>Isolated app/database; providers disabled or QA allowlist; exact request schema and fixture ID from current source/UI.</x:v>
      </x:c>
      <x:c r="I473" s="10" t="str">
        <x:v>Inspect route and delegated service contract for query/body/allowed actions. Capture a valid request from QA UI, replace dynamic IDs with owned fixture IDs, replay GET /api/staff/onboarding-email once in isolated environment. Check status/body/headers and exact database/job effects.</x:v>
      </x:c>
      <x:c r="J473" s="10" t="str">
        <x:v>Valid supported request returns documented result; expected mutations only. Public/token endpoints follow their own policy; no assumption of a universal 200/401 response.</x:v>
      </x:c>
      <x:c r="K473" s="11" t="str"/>
      <x:c r="L473" s="11" t="str">
        <x:v>Not run</x:v>
      </x:c>
      <x:c r="M473" s="11" t="str"/>
      <x:c r="N473" s="11" t="str"/>
      <x:c r="O473" s="11" t="str"/>
      <x:c r="P473" s="11" t="str"/>
      <x:c r="Q473" s="11" t="str"/>
      <x:c r="R473" s="11" t="str"/>
      <x:c r="S473" s="10" t="str">
        <x:v>Sanitized HTTP request/response + before/after query</x:v>
      </x:c>
      <x:c r="T473" s="10" t="str">
        <x:v>src/app/api/staff/onboarding-email/route.ts</x:v>
      </x:c>
      <x:c r="U473" s="10" t="str">
        <x:v>Reconcile tagged fixtures; archive/withdraw only owned test publications. Preserve audit/financial history.</x:v>
      </x:c>
      <x:c r="V473" s="12" t="str">
        <x:f>IF(A473="","",IF(L473="Not run","Pending",IF(OR(L473="Blocked",L473="Not deployed",L473="Not applicable"),IF(OR(K473="",R473=""),"Needs explanation","Recorded"),IF(OR(L473="Pass",L473="Fail"),IF(OR(K473="",M473="",P473=""),"Needs result/evidence/build","Recorded"),"Needs valid status"))))</x:f>
        <x:v>Pending</x:v>
      </x:c>
    </x:row>
    <x:row r="474" ht="52" customHeight="1">
      <x:c r="A474" s="10" t="str">
        <x:v>QA-0470</x:v>
      </x:c>
      <x:c r="B474" s="10" t="str">
        <x:v>T. API contract</x:v>
      </x:c>
      <x:c r="C474" s="10" t="str">
        <x:v>GET boundary: /api/staff/onboarding-email</x:v>
      </x:c>
      <x:c r="D474" s="10" t="str">
        <x:v>/api/staff/onboarding-email</x:v>
      </x:c>
      <x:c r="E474" s="10" t="str">
        <x:v>Technical tester</x:v>
      </x:c>
      <x:c r="F474" s="10" t="str">
        <x:v>P0</x:v>
      </x:c>
      <x:c r="G474" s="10" t="str">
        <x:v>Isolated only</x:v>
      </x:c>
      <x:c r="H474" s="10" t="str">
        <x:v>Record deployed build. Use assigned test accounts, synthetic data and approved fixtures/recipients only.</x:v>
      </x:c>
      <x:c r="I474" s="10" t="str">
        <x:v>Using isolated fixtures, replay GET /api/staff/onboarding-email as anonymous, ordinary member, unrelated staff role and wrong owner as applicable. Test every current supported action separately; record authorization differences.</x:v>
      </x:c>
      <x:c r="J474" s="10" t="str">
        <x:v>Authorization matches action-specific grants/ownership/publication; authorized exceptions remain allowed and all unauthorized reads/writes denied without private leakage.</x:v>
      </x:c>
      <x:c r="K474" s="11" t="str"/>
      <x:c r="L474" s="11" t="str">
        <x:v>Not run</x:v>
      </x:c>
      <x:c r="M474" s="11" t="str"/>
      <x:c r="N474" s="11" t="str"/>
      <x:c r="O474" s="11" t="str"/>
      <x:c r="P474" s="11" t="str"/>
      <x:c r="Q474" s="11" t="str"/>
      <x:c r="R474" s="11" t="str"/>
      <x:c r="S474" s="10" t="str">
        <x:v>Role/request matrix + response + unchanged database</x:v>
      </x:c>
      <x:c r="T474" s="10" t="str">
        <x:v>src/app/api/staff/onboarding-email/route.ts</x:v>
      </x:c>
      <x:c r="U474" s="10" t="str">
        <x:v>Reconcile tagged fixtures; archive/withdraw only owned test publications. Preserve audit/financial history.</x:v>
      </x:c>
      <x:c r="V474" s="12" t="str">
        <x:f>IF(A474="","",IF(L474="Not run","Pending",IF(OR(L474="Blocked",L474="Not deployed",L474="Not applicable"),IF(OR(K474="",R474=""),"Needs explanation","Recorded"),IF(OR(L474="Pass",L474="Fail"),IF(OR(K474="",M474="",P474=""),"Needs result/evidence/build","Recorded"),"Needs valid status"))))</x:f>
        <x:v>Pending</x:v>
      </x:c>
    </x:row>
    <x:row r="475" ht="66" customHeight="1">
      <x:c r="A475" s="10" t="str">
        <x:v>QA-0471</x:v>
      </x:c>
      <x:c r="B475" s="10" t="str">
        <x:v>T. API contract</x:v>
      </x:c>
      <x:c r="C475" s="10" t="str">
        <x:v>POST /api/staff/onboarding-email</x:v>
      </x:c>
      <x:c r="D475" s="10" t="str">
        <x:v>/api/staff/onboarding-email</x:v>
      </x:c>
      <x:c r="E475" s="10" t="str">
        <x:v>Technical tester</x:v>
      </x:c>
      <x:c r="F475" s="10" t="str">
        <x:v>P0</x:v>
      </x:c>
      <x:c r="G475" s="10" t="str">
        <x:v>Isolated only</x:v>
      </x:c>
      <x:c r="H475" s="10" t="str">
        <x:v>Isolated app/database; providers disabled or QA allowlist; exact request schema and fixture ID from current source/UI.</x:v>
      </x:c>
      <x:c r="I475" s="10" t="str">
        <x:v>Inspect route and delegated service contract for query/body/allowed actions. Capture a valid request from QA UI, replace dynamic IDs with owned fixture IDs, replay POST /api/staff/onboarding-email once in isolated environment. Check status/body/headers and exact database/job effects.</x:v>
      </x:c>
      <x:c r="J475" s="10" t="str">
        <x:v>Valid supported request returns documented result; expected mutations only. Public/token endpoints follow their own policy; no assumption of a universal 200/401 response.</x:v>
      </x:c>
      <x:c r="K475" s="11" t="str"/>
      <x:c r="L475" s="11" t="str">
        <x:v>Not run</x:v>
      </x:c>
      <x:c r="M475" s="11" t="str"/>
      <x:c r="N475" s="11" t="str"/>
      <x:c r="O475" s="11" t="str"/>
      <x:c r="P475" s="11" t="str"/>
      <x:c r="Q475" s="11" t="str"/>
      <x:c r="R475" s="11" t="str"/>
      <x:c r="S475" s="10" t="str">
        <x:v>Sanitized HTTP request/response + before/after query</x:v>
      </x:c>
      <x:c r="T475" s="10" t="str">
        <x:v>src/app/api/staff/onboarding-email/route.ts</x:v>
      </x:c>
      <x:c r="U475" s="10" t="str">
        <x:v>Reconcile tagged fixtures; archive/withdraw only owned test publications. Preserve audit/financial history.</x:v>
      </x:c>
      <x:c r="V475" s="12" t="str">
        <x:f>IF(A475="","",IF(L475="Not run","Pending",IF(OR(L475="Blocked",L475="Not deployed",L475="Not applicable"),IF(OR(K475="",R475=""),"Needs explanation","Recorded"),IF(OR(L475="Pass",L475="Fail"),IF(OR(K475="",M475="",P475=""),"Needs result/evidence/build","Recorded"),"Needs valid status"))))</x:f>
        <x:v>Pending</x:v>
      </x:c>
    </x:row>
    <x:row r="476" ht="52" customHeight="1">
      <x:c r="A476" s="10" t="str">
        <x:v>QA-0472</x:v>
      </x:c>
      <x:c r="B476" s="10" t="str">
        <x:v>T. API contract</x:v>
      </x:c>
      <x:c r="C476" s="10" t="str">
        <x:v>POST boundary: /api/staff/onboarding-email</x:v>
      </x:c>
      <x:c r="D476" s="10" t="str">
        <x:v>/api/staff/onboarding-email</x:v>
      </x:c>
      <x:c r="E476" s="10" t="str">
        <x:v>Technical tester</x:v>
      </x:c>
      <x:c r="F476" s="10" t="str">
        <x:v>P0</x:v>
      </x:c>
      <x:c r="G476" s="10" t="str">
        <x:v>Isolated only</x:v>
      </x:c>
      <x:c r="H476" s="10" t="str">
        <x:v>Record deployed build. Use assigned test accounts, synthetic data and approved fixtures/recipients only.</x:v>
      </x:c>
      <x:c r="I476" s="10" t="str">
        <x:v>Using isolated fixtures, replay POST /api/staff/onboarding-email as anonymous, ordinary member, unrelated staff role and wrong owner as applicable. Test every current supported action separately; record authorization differences.</x:v>
      </x:c>
      <x:c r="J476" s="10" t="str">
        <x:v>Authorization matches action-specific grants/ownership/publication; authorized exceptions remain allowed and all unauthorized reads/writes denied without private leakage.</x:v>
      </x:c>
      <x:c r="K476" s="11" t="str"/>
      <x:c r="L476" s="11" t="str">
        <x:v>Not run</x:v>
      </x:c>
      <x:c r="M476" s="11" t="str"/>
      <x:c r="N476" s="11" t="str"/>
      <x:c r="O476" s="11" t="str"/>
      <x:c r="P476" s="11" t="str"/>
      <x:c r="Q476" s="11" t="str"/>
      <x:c r="R476" s="11" t="str"/>
      <x:c r="S476" s="10" t="str">
        <x:v>Role/request matrix + response + unchanged database</x:v>
      </x:c>
      <x:c r="T476" s="10" t="str">
        <x:v>src/app/api/staff/onboarding-email/route.ts</x:v>
      </x:c>
      <x:c r="U476" s="10" t="str">
        <x:v>Reconcile tagged fixtures; archive/withdraw only owned test publications. Preserve audit/financial history.</x:v>
      </x:c>
      <x:c r="V476" s="12" t="str">
        <x:f>IF(A476="","",IF(L476="Not run","Pending",IF(OR(L476="Blocked",L476="Not deployed",L476="Not applicable"),IF(OR(K476="",R476=""),"Needs explanation","Recorded"),IF(OR(L476="Pass",L476="Fail"),IF(OR(K476="",M476="",P476=""),"Needs result/evidence/build","Recorded"),"Needs valid status"))))</x:f>
        <x:v>Pending</x:v>
      </x:c>
    </x:row>
    <x:row r="477" ht="66" customHeight="1">
      <x:c r="A477" s="10" t="str">
        <x:v>QA-0473</x:v>
      </x:c>
      <x:c r="B477" s="10" t="str">
        <x:v>T. API contract</x:v>
      </x:c>
      <x:c r="C477" s="10" t="str">
        <x:v>GET /api/staff/onboarding-import</x:v>
      </x:c>
      <x:c r="D477" s="10" t="str">
        <x:v>/api/staff/onboarding-import</x:v>
      </x:c>
      <x:c r="E477" s="10" t="str">
        <x:v>Technical tester</x:v>
      </x:c>
      <x:c r="F477" s="10" t="str">
        <x:v>P1</x:v>
      </x:c>
      <x:c r="G477" s="10" t="str">
        <x:v>Isolated only</x:v>
      </x:c>
      <x:c r="H477" s="10" t="str">
        <x:v>Isolated app/database; providers disabled or QA allowlist; exact request schema and fixture ID from current source/UI.</x:v>
      </x:c>
      <x:c r="I477" s="10" t="str">
        <x:v>Inspect route and delegated service contract for query/body/allowed actions. Capture a valid request from QA UI, replace dynamic IDs with owned fixture IDs, replay GET /api/staff/onboarding-import once in isolated environment. Check status/body/headers and exact database/job effects.</x:v>
      </x:c>
      <x:c r="J477" s="10" t="str">
        <x:v>Valid supported request returns documented result; expected mutations only. Public/token endpoints follow their own policy; no assumption of a universal 200/401 response.</x:v>
      </x:c>
      <x:c r="K477" s="11" t="str"/>
      <x:c r="L477" s="11" t="str">
        <x:v>Not run</x:v>
      </x:c>
      <x:c r="M477" s="11" t="str"/>
      <x:c r="N477" s="11" t="str"/>
      <x:c r="O477" s="11" t="str"/>
      <x:c r="P477" s="11" t="str"/>
      <x:c r="Q477" s="11" t="str"/>
      <x:c r="R477" s="11" t="str"/>
      <x:c r="S477" s="10" t="str">
        <x:v>Sanitized HTTP request/response + before/after query</x:v>
      </x:c>
      <x:c r="T477" s="10" t="str">
        <x:v>src/app/api/staff/onboarding-import/route.ts</x:v>
      </x:c>
      <x:c r="U477" s="10" t="str">
        <x:v>Reconcile tagged fixtures; archive/withdraw only owned test publications. Preserve audit/financial history.</x:v>
      </x:c>
      <x:c r="V477" s="12" t="str">
        <x:f>IF(A477="","",IF(L477="Not run","Pending",IF(OR(L477="Blocked",L477="Not deployed",L477="Not applicable"),IF(OR(K477="",R477=""),"Needs explanation","Recorded"),IF(OR(L477="Pass",L477="Fail"),IF(OR(K477="",M477="",P477=""),"Needs result/evidence/build","Recorded"),"Needs valid status"))))</x:f>
        <x:v>Pending</x:v>
      </x:c>
    </x:row>
    <x:row r="478" ht="52" customHeight="1">
      <x:c r="A478" s="10" t="str">
        <x:v>QA-0474</x:v>
      </x:c>
      <x:c r="B478" s="10" t="str">
        <x:v>T. API contract</x:v>
      </x:c>
      <x:c r="C478" s="10" t="str">
        <x:v>GET boundary: /api/staff/onboarding-import</x:v>
      </x:c>
      <x:c r="D478" s="10" t="str">
        <x:v>/api/staff/onboarding-import</x:v>
      </x:c>
      <x:c r="E478" s="10" t="str">
        <x:v>Technical tester</x:v>
      </x:c>
      <x:c r="F478" s="10" t="str">
        <x:v>P0</x:v>
      </x:c>
      <x:c r="G478" s="10" t="str">
        <x:v>Isolated only</x:v>
      </x:c>
      <x:c r="H478" s="10" t="str">
        <x:v>Record deployed build. Use assigned test accounts, synthetic data and approved fixtures/recipients only.</x:v>
      </x:c>
      <x:c r="I478" s="10" t="str">
        <x:v>Using isolated fixtures, replay GET /api/staff/onboarding-import as anonymous, ordinary member, unrelated staff role and wrong owner as applicable. Test every current supported action separately; record authorization differences.</x:v>
      </x:c>
      <x:c r="J478" s="10" t="str">
        <x:v>Authorization matches action-specific grants/ownership/publication; authorized exceptions remain allowed and all unauthorized reads/writes denied without private leakage.</x:v>
      </x:c>
      <x:c r="K478" s="11" t="str"/>
      <x:c r="L478" s="11" t="str">
        <x:v>Not run</x:v>
      </x:c>
      <x:c r="M478" s="11" t="str"/>
      <x:c r="N478" s="11" t="str"/>
      <x:c r="O478" s="11" t="str"/>
      <x:c r="P478" s="11" t="str"/>
      <x:c r="Q478" s="11" t="str"/>
      <x:c r="R478" s="11" t="str"/>
      <x:c r="S478" s="10" t="str">
        <x:v>Role/request matrix + response + unchanged database</x:v>
      </x:c>
      <x:c r="T478" s="10" t="str">
        <x:v>src/app/api/staff/onboarding-import/route.ts</x:v>
      </x:c>
      <x:c r="U478" s="10" t="str">
        <x:v>Reconcile tagged fixtures; archive/withdraw only owned test publications. Preserve audit/financial history.</x:v>
      </x:c>
      <x:c r="V478" s="12" t="str">
        <x:f>IF(A478="","",IF(L478="Not run","Pending",IF(OR(L478="Blocked",L478="Not deployed",L478="Not applicable"),IF(OR(K478="",R478=""),"Needs explanation","Recorded"),IF(OR(L478="Pass",L478="Fail"),IF(OR(K478="",M478="",P478=""),"Needs result/evidence/build","Recorded"),"Needs valid status"))))</x:f>
        <x:v>Pending</x:v>
      </x:c>
    </x:row>
    <x:row r="479" ht="66" customHeight="1">
      <x:c r="A479" s="10" t="str">
        <x:v>QA-0475</x:v>
      </x:c>
      <x:c r="B479" s="10" t="str">
        <x:v>T. API contract</x:v>
      </x:c>
      <x:c r="C479" s="10" t="str">
        <x:v>POST /api/staff/onboarding-import</x:v>
      </x:c>
      <x:c r="D479" s="10" t="str">
        <x:v>/api/staff/onboarding-import</x:v>
      </x:c>
      <x:c r="E479" s="10" t="str">
        <x:v>Technical tester</x:v>
      </x:c>
      <x:c r="F479" s="10" t="str">
        <x:v>P0</x:v>
      </x:c>
      <x:c r="G479" s="10" t="str">
        <x:v>Isolated only</x:v>
      </x:c>
      <x:c r="H479" s="10" t="str">
        <x:v>Isolated app/database; providers disabled or QA allowlist; exact request schema and fixture ID from current source/UI.</x:v>
      </x:c>
      <x:c r="I479" s="10" t="str">
        <x:v>Inspect route and delegated service contract for query/body/allowed actions. Capture a valid request from QA UI, replace dynamic IDs with owned fixture IDs, replay POST /api/staff/onboarding-import once in isolated environment. Check status/body/headers and exact database/job effects.</x:v>
      </x:c>
      <x:c r="J479" s="10" t="str">
        <x:v>Valid supported request returns documented result; expected mutations only. Public/token endpoints follow their own policy; no assumption of a universal 200/401 response.</x:v>
      </x:c>
      <x:c r="K479" s="11" t="str"/>
      <x:c r="L479" s="11" t="str">
        <x:v>Not run</x:v>
      </x:c>
      <x:c r="M479" s="11" t="str"/>
      <x:c r="N479" s="11" t="str"/>
      <x:c r="O479" s="11" t="str"/>
      <x:c r="P479" s="11" t="str"/>
      <x:c r="Q479" s="11" t="str"/>
      <x:c r="R479" s="11" t="str"/>
      <x:c r="S479" s="10" t="str">
        <x:v>Sanitized HTTP request/response + before/after query</x:v>
      </x:c>
      <x:c r="T479" s="10" t="str">
        <x:v>src/app/api/staff/onboarding-import/route.ts</x:v>
      </x:c>
      <x:c r="U479" s="10" t="str">
        <x:v>Reconcile tagged fixtures; archive/withdraw only owned test publications. Preserve audit/financial history.</x:v>
      </x:c>
      <x:c r="V479" s="12" t="str">
        <x:f>IF(A479="","",IF(L479="Not run","Pending",IF(OR(L479="Blocked",L479="Not deployed",L479="Not applicable"),IF(OR(K479="",R479=""),"Needs explanation","Recorded"),IF(OR(L479="Pass",L479="Fail"),IF(OR(K479="",M479="",P479=""),"Needs result/evidence/build","Recorded"),"Needs valid status"))))</x:f>
        <x:v>Pending</x:v>
      </x:c>
    </x:row>
    <x:row r="480" ht="52" customHeight="1">
      <x:c r="A480" s="10" t="str">
        <x:v>QA-0476</x:v>
      </x:c>
      <x:c r="B480" s="10" t="str">
        <x:v>T. API contract</x:v>
      </x:c>
      <x:c r="C480" s="10" t="str">
        <x:v>POST boundary: /api/staff/onboarding-import</x:v>
      </x:c>
      <x:c r="D480" s="10" t="str">
        <x:v>/api/staff/onboarding-import</x:v>
      </x:c>
      <x:c r="E480" s="10" t="str">
        <x:v>Technical tester</x:v>
      </x:c>
      <x:c r="F480" s="10" t="str">
        <x:v>P0</x:v>
      </x:c>
      <x:c r="G480" s="10" t="str">
        <x:v>Isolated only</x:v>
      </x:c>
      <x:c r="H480" s="10" t="str">
        <x:v>Record deployed build. Use assigned test accounts, synthetic data and approved fixtures/recipients only.</x:v>
      </x:c>
      <x:c r="I480" s="10" t="str">
        <x:v>Using isolated fixtures, replay POST /api/staff/onboarding-import as anonymous, ordinary member, unrelated staff role and wrong owner as applicable. Test every current supported action separately; record authorization differences.</x:v>
      </x:c>
      <x:c r="J480" s="10" t="str">
        <x:v>Authorization matches action-specific grants/ownership/publication; authorized exceptions remain allowed and all unauthorized reads/writes denied without private leakage.</x:v>
      </x:c>
      <x:c r="K480" s="11" t="str"/>
      <x:c r="L480" s="11" t="str">
        <x:v>Not run</x:v>
      </x:c>
      <x:c r="M480" s="11" t="str"/>
      <x:c r="N480" s="11" t="str"/>
      <x:c r="O480" s="11" t="str"/>
      <x:c r="P480" s="11" t="str"/>
      <x:c r="Q480" s="11" t="str"/>
      <x:c r="R480" s="11" t="str"/>
      <x:c r="S480" s="10" t="str">
        <x:v>Role/request matrix + response + unchanged database</x:v>
      </x:c>
      <x:c r="T480" s="10" t="str">
        <x:v>src/app/api/staff/onboarding-import/route.ts</x:v>
      </x:c>
      <x:c r="U480" s="10" t="str">
        <x:v>Reconcile tagged fixtures; archive/withdraw only owned test publications. Preserve audit/financial history.</x:v>
      </x:c>
      <x:c r="V480" s="12" t="str">
        <x:f>IF(A480="","",IF(L480="Not run","Pending",IF(OR(L480="Blocked",L480="Not deployed",L480="Not applicable"),IF(OR(K480="",R480=""),"Needs explanation","Recorded"),IF(OR(L480="Pass",L480="Fail"),IF(OR(K480="",M480="",P480=""),"Needs result/evidence/build","Recorded"),"Needs valid status"))))</x:f>
        <x:v>Pending</x:v>
      </x:c>
    </x:row>
    <x:row r="481" ht="66" customHeight="1">
      <x:c r="A481" s="10" t="str">
        <x:v>QA-0477</x:v>
      </x:c>
      <x:c r="B481" s="10" t="str">
        <x:v>T. API contract</x:v>
      </x:c>
      <x:c r="C481" s="10" t="str">
        <x:v>GET /api/staff/payment-details</x:v>
      </x:c>
      <x:c r="D481" s="10" t="str">
        <x:v>/api/staff/payment-details</x:v>
      </x:c>
      <x:c r="E481" s="10" t="str">
        <x:v>Technical tester</x:v>
      </x:c>
      <x:c r="F481" s="10" t="str">
        <x:v>P1</x:v>
      </x:c>
      <x:c r="G481" s="10" t="str">
        <x:v>Isolated only</x:v>
      </x:c>
      <x:c r="H481" s="10" t="str">
        <x:v>Isolated app/database; providers disabled or QA allowlist; exact request schema and fixture ID from current source/UI.</x:v>
      </x:c>
      <x:c r="I481" s="10" t="str">
        <x:v>Inspect route and delegated service contract for query/body/allowed actions. Capture a valid request from QA UI, replace dynamic IDs with owned fixture IDs, replay GET /api/staff/payment-details once in isolated environment. Check status/body/headers and exact database/job effects.</x:v>
      </x:c>
      <x:c r="J481" s="10" t="str">
        <x:v>Valid supported request returns documented result; expected mutations only. Public/token endpoints follow their own policy; no assumption of a universal 200/401 response.</x:v>
      </x:c>
      <x:c r="K481" s="11" t="str"/>
      <x:c r="L481" s="11" t="str">
        <x:v>Not run</x:v>
      </x:c>
      <x:c r="M481" s="11" t="str"/>
      <x:c r="N481" s="11" t="str"/>
      <x:c r="O481" s="11" t="str"/>
      <x:c r="P481" s="11" t="str"/>
      <x:c r="Q481" s="11" t="str"/>
      <x:c r="R481" s="11" t="str"/>
      <x:c r="S481" s="10" t="str">
        <x:v>Sanitized HTTP request/response + before/after query</x:v>
      </x:c>
      <x:c r="T481" s="10" t="str">
        <x:v>src/app/api/staff/payment-details/route.ts</x:v>
      </x:c>
      <x:c r="U481" s="10" t="str">
        <x:v>Reconcile tagged fixtures; archive/withdraw only owned test publications. Preserve audit/financial history.</x:v>
      </x:c>
      <x:c r="V481" s="12" t="str">
        <x:f>IF(A481="","",IF(L481="Not run","Pending",IF(OR(L481="Blocked",L481="Not deployed",L481="Not applicable"),IF(OR(K481="",R481=""),"Needs explanation","Recorded"),IF(OR(L481="Pass",L481="Fail"),IF(OR(K481="",M481="",P481=""),"Needs result/evidence/build","Recorded"),"Needs valid status"))))</x:f>
        <x:v>Pending</x:v>
      </x:c>
    </x:row>
    <x:row r="482" ht="52" customHeight="1">
      <x:c r="A482" s="10" t="str">
        <x:v>QA-0478</x:v>
      </x:c>
      <x:c r="B482" s="10" t="str">
        <x:v>T. API contract</x:v>
      </x:c>
      <x:c r="C482" s="10" t="str">
        <x:v>GET boundary: /api/staff/payment-details</x:v>
      </x:c>
      <x:c r="D482" s="10" t="str">
        <x:v>/api/staff/payment-details</x:v>
      </x:c>
      <x:c r="E482" s="10" t="str">
        <x:v>Technical tester</x:v>
      </x:c>
      <x:c r="F482" s="10" t="str">
        <x:v>P0</x:v>
      </x:c>
      <x:c r="G482" s="10" t="str">
        <x:v>Isolated only</x:v>
      </x:c>
      <x:c r="H482" s="10" t="str">
        <x:v>Record deployed build. Use assigned test accounts, synthetic data and approved fixtures/recipients only.</x:v>
      </x:c>
      <x:c r="I482" s="10" t="str">
        <x:v>Using isolated fixtures, replay GET /api/staff/payment-details as anonymous, ordinary member, unrelated staff role and wrong owner as applicable. Test every current supported action separately; record authorization differences.</x:v>
      </x:c>
      <x:c r="J482" s="10" t="str">
        <x:v>Authorization matches action-specific grants/ownership/publication; authorized exceptions remain allowed and all unauthorized reads/writes denied without private leakage.</x:v>
      </x:c>
      <x:c r="K482" s="11" t="str"/>
      <x:c r="L482" s="11" t="str">
        <x:v>Not run</x:v>
      </x:c>
      <x:c r="M482" s="11" t="str"/>
      <x:c r="N482" s="11" t="str"/>
      <x:c r="O482" s="11" t="str"/>
      <x:c r="P482" s="11" t="str"/>
      <x:c r="Q482" s="11" t="str"/>
      <x:c r="R482" s="11" t="str"/>
      <x:c r="S482" s="10" t="str">
        <x:v>Role/request matrix + response + unchanged database</x:v>
      </x:c>
      <x:c r="T482" s="10" t="str">
        <x:v>src/app/api/staff/payment-details/route.ts</x:v>
      </x:c>
      <x:c r="U482" s="10" t="str">
        <x:v>Reconcile tagged fixtures; archive/withdraw only owned test publications. Preserve audit/financial history.</x:v>
      </x:c>
      <x:c r="V482" s="12" t="str">
        <x:f>IF(A482="","",IF(L482="Not run","Pending",IF(OR(L482="Blocked",L482="Not deployed",L482="Not applicable"),IF(OR(K482="",R482=""),"Needs explanation","Recorded"),IF(OR(L482="Pass",L482="Fail"),IF(OR(K482="",M482="",P482=""),"Needs result/evidence/build","Recorded"),"Needs valid status"))))</x:f>
        <x:v>Pending</x:v>
      </x:c>
    </x:row>
    <x:row r="483" ht="66" customHeight="1">
      <x:c r="A483" s="10" t="str">
        <x:v>QA-0479</x:v>
      </x:c>
      <x:c r="B483" s="10" t="str">
        <x:v>T. API contract</x:v>
      </x:c>
      <x:c r="C483" s="10" t="str">
        <x:v>POST /api/staff/payment-details</x:v>
      </x:c>
      <x:c r="D483" s="10" t="str">
        <x:v>/api/staff/payment-details</x:v>
      </x:c>
      <x:c r="E483" s="10" t="str">
        <x:v>Technical tester</x:v>
      </x:c>
      <x:c r="F483" s="10" t="str">
        <x:v>P0</x:v>
      </x:c>
      <x:c r="G483" s="10" t="str">
        <x:v>Isolated only</x:v>
      </x:c>
      <x:c r="H483" s="10" t="str">
        <x:v>Isolated app/database; providers disabled or QA allowlist; exact request schema and fixture ID from current source/UI.</x:v>
      </x:c>
      <x:c r="I483" s="10" t="str">
        <x:v>Inspect route and delegated service contract for query/body/allowed actions. Capture a valid request from QA UI, replace dynamic IDs with owned fixture IDs, replay POST /api/staff/payment-details once in isolated environment. Check status/body/headers and exact database/job effects.</x:v>
      </x:c>
      <x:c r="J483" s="10" t="str">
        <x:v>Valid supported request returns documented result; expected mutations only. Public/token endpoints follow their own policy; no assumption of a universal 200/401 response.</x:v>
      </x:c>
      <x:c r="K483" s="11" t="str"/>
      <x:c r="L483" s="11" t="str">
        <x:v>Not run</x:v>
      </x:c>
      <x:c r="M483" s="11" t="str"/>
      <x:c r="N483" s="11" t="str"/>
      <x:c r="O483" s="11" t="str"/>
      <x:c r="P483" s="11" t="str"/>
      <x:c r="Q483" s="11" t="str"/>
      <x:c r="R483" s="11" t="str"/>
      <x:c r="S483" s="10" t="str">
        <x:v>Sanitized HTTP request/response + before/after query</x:v>
      </x:c>
      <x:c r="T483" s="10" t="str">
        <x:v>src/app/api/staff/payment-details/route.ts</x:v>
      </x:c>
      <x:c r="U483" s="10" t="str">
        <x:v>Reconcile tagged fixtures; archive/withdraw only owned test publications. Preserve audit/financial history.</x:v>
      </x:c>
      <x:c r="V483" s="12" t="str">
        <x:f>IF(A483="","",IF(L483="Not run","Pending",IF(OR(L483="Blocked",L483="Not deployed",L483="Not applicable"),IF(OR(K483="",R483=""),"Needs explanation","Recorded"),IF(OR(L483="Pass",L483="Fail"),IF(OR(K483="",M483="",P483=""),"Needs result/evidence/build","Recorded"),"Needs valid status"))))</x:f>
        <x:v>Pending</x:v>
      </x:c>
    </x:row>
    <x:row r="484" ht="52" customHeight="1">
      <x:c r="A484" s="10" t="str">
        <x:v>QA-0480</x:v>
      </x:c>
      <x:c r="B484" s="10" t="str">
        <x:v>T. API contract</x:v>
      </x:c>
      <x:c r="C484" s="10" t="str">
        <x:v>POST boundary: /api/staff/payment-details</x:v>
      </x:c>
      <x:c r="D484" s="10" t="str">
        <x:v>/api/staff/payment-details</x:v>
      </x:c>
      <x:c r="E484" s="10" t="str">
        <x:v>Technical tester</x:v>
      </x:c>
      <x:c r="F484" s="10" t="str">
        <x:v>P0</x:v>
      </x:c>
      <x:c r="G484" s="10" t="str">
        <x:v>Isolated only</x:v>
      </x:c>
      <x:c r="H484" s="10" t="str">
        <x:v>Record deployed build. Use assigned test accounts, synthetic data and approved fixtures/recipients only.</x:v>
      </x:c>
      <x:c r="I484" s="10" t="str">
        <x:v>Using isolated fixtures, replay POST /api/staff/payment-details as anonymous, ordinary member, unrelated staff role and wrong owner as applicable. Test every current supported action separately; record authorization differences.</x:v>
      </x:c>
      <x:c r="J484" s="10" t="str">
        <x:v>Authorization matches action-specific grants/ownership/publication; authorized exceptions remain allowed and all unauthorized reads/writes denied without private leakage.</x:v>
      </x:c>
      <x:c r="K484" s="11" t="str"/>
      <x:c r="L484" s="11" t="str">
        <x:v>Not run</x:v>
      </x:c>
      <x:c r="M484" s="11" t="str"/>
      <x:c r="N484" s="11" t="str"/>
      <x:c r="O484" s="11" t="str"/>
      <x:c r="P484" s="11" t="str"/>
      <x:c r="Q484" s="11" t="str"/>
      <x:c r="R484" s="11" t="str"/>
      <x:c r="S484" s="10" t="str">
        <x:v>Role/request matrix + response + unchanged database</x:v>
      </x:c>
      <x:c r="T484" s="10" t="str">
        <x:v>src/app/api/staff/payment-details/route.ts</x:v>
      </x:c>
      <x:c r="U484" s="10" t="str">
        <x:v>Reconcile tagged fixtures; archive/withdraw only owned test publications. Preserve audit/financial history.</x:v>
      </x:c>
      <x:c r="V484" s="12" t="str">
        <x:f>IF(A484="","",IF(L484="Not run","Pending",IF(OR(L484="Blocked",L484="Not deployed",L484="Not applicable"),IF(OR(K484="",R484=""),"Needs explanation","Recorded"),IF(OR(L484="Pass",L484="Fail"),IF(OR(K484="",M484="",P484=""),"Needs result/evidence/build","Recorded"),"Needs valid status"))))</x:f>
        <x:v>Pending</x:v>
      </x:c>
    </x:row>
    <x:row r="485" ht="66" customHeight="1">
      <x:c r="A485" s="10" t="str">
        <x:v>QA-0481</x:v>
      </x:c>
      <x:c r="B485" s="10" t="str">
        <x:v>T. API contract</x:v>
      </x:c>
      <x:c r="C485" s="10" t="str">
        <x:v>POST /api/staff/payment-qr</x:v>
      </x:c>
      <x:c r="D485" s="10" t="str">
        <x:v>/api/staff/payment-qr</x:v>
      </x:c>
      <x:c r="E485" s="10" t="str">
        <x:v>Technical tester</x:v>
      </x:c>
      <x:c r="F485" s="10" t="str">
        <x:v>P0</x:v>
      </x:c>
      <x:c r="G485" s="10" t="str">
        <x:v>Isolated only</x:v>
      </x:c>
      <x:c r="H485" s="10" t="str">
        <x:v>Isolated app/database; providers disabled or QA allowlist; exact request schema and fixture ID from current source/UI.</x:v>
      </x:c>
      <x:c r="I485" s="10" t="str">
        <x:v>Inspect route and delegated service contract for query/body/allowed actions. Capture a valid request from QA UI, replace dynamic IDs with owned fixture IDs, replay POST /api/staff/payment-qr once in isolated environment. Check status/body/headers and exact database/job effects.</x:v>
      </x:c>
      <x:c r="J485" s="10" t="str">
        <x:v>Valid supported request returns documented result; expected mutations only. Public/token endpoints follow their own policy; no assumption of a universal 200/401 response.</x:v>
      </x:c>
      <x:c r="K485" s="11" t="str"/>
      <x:c r="L485" s="11" t="str">
        <x:v>Not run</x:v>
      </x:c>
      <x:c r="M485" s="11" t="str"/>
      <x:c r="N485" s="11" t="str"/>
      <x:c r="O485" s="11" t="str"/>
      <x:c r="P485" s="11" t="str"/>
      <x:c r="Q485" s="11" t="str"/>
      <x:c r="R485" s="11" t="str"/>
      <x:c r="S485" s="10" t="str">
        <x:v>Sanitized HTTP request/response + before/after query</x:v>
      </x:c>
      <x:c r="T485" s="10" t="str">
        <x:v>src/app/api/staff/payment-qr/route.ts</x:v>
      </x:c>
      <x:c r="U485" s="10" t="str">
        <x:v>Reconcile tagged fixtures; archive/withdraw only owned test publications. Preserve audit/financial history.</x:v>
      </x:c>
      <x:c r="V485" s="12" t="str">
        <x:f>IF(A485="","",IF(L485="Not run","Pending",IF(OR(L485="Blocked",L485="Not deployed",L485="Not applicable"),IF(OR(K485="",R485=""),"Needs explanation","Recorded"),IF(OR(L485="Pass",L485="Fail"),IF(OR(K485="",M485="",P485=""),"Needs result/evidence/build","Recorded"),"Needs valid status"))))</x:f>
        <x:v>Pending</x:v>
      </x:c>
    </x:row>
    <x:row r="486" ht="52" customHeight="1">
      <x:c r="A486" s="10" t="str">
        <x:v>QA-0482</x:v>
      </x:c>
      <x:c r="B486" s="10" t="str">
        <x:v>T. API contract</x:v>
      </x:c>
      <x:c r="C486" s="10" t="str">
        <x:v>POST boundary: /api/staff/payment-qr</x:v>
      </x:c>
      <x:c r="D486" s="10" t="str">
        <x:v>/api/staff/payment-qr</x:v>
      </x:c>
      <x:c r="E486" s="10" t="str">
        <x:v>Technical tester</x:v>
      </x:c>
      <x:c r="F486" s="10" t="str">
        <x:v>P0</x:v>
      </x:c>
      <x:c r="G486" s="10" t="str">
        <x:v>Isolated only</x:v>
      </x:c>
      <x:c r="H486" s="10" t="str">
        <x:v>Record deployed build. Use assigned test accounts, synthetic data and approved fixtures/recipients only.</x:v>
      </x:c>
      <x:c r="I486" s="10" t="str">
        <x:v>Using isolated fixtures, replay POST /api/staff/payment-qr as anonymous, ordinary member, unrelated staff role and wrong owner as applicable. Test every current supported action separately; record authorization differences.</x:v>
      </x:c>
      <x:c r="J486" s="10" t="str">
        <x:v>Authorization matches action-specific grants/ownership/publication; authorized exceptions remain allowed and all unauthorized reads/writes denied without private leakage.</x:v>
      </x:c>
      <x:c r="K486" s="11" t="str"/>
      <x:c r="L486" s="11" t="str">
        <x:v>Not run</x:v>
      </x:c>
      <x:c r="M486" s="11" t="str"/>
      <x:c r="N486" s="11" t="str"/>
      <x:c r="O486" s="11" t="str"/>
      <x:c r="P486" s="11" t="str"/>
      <x:c r="Q486" s="11" t="str"/>
      <x:c r="R486" s="11" t="str"/>
      <x:c r="S486" s="10" t="str">
        <x:v>Role/request matrix + response + unchanged database</x:v>
      </x:c>
      <x:c r="T486" s="10" t="str">
        <x:v>src/app/api/staff/payment-qr/route.ts</x:v>
      </x:c>
      <x:c r="U486" s="10" t="str">
        <x:v>Reconcile tagged fixtures; archive/withdraw only owned test publications. Preserve audit/financial history.</x:v>
      </x:c>
      <x:c r="V486" s="12" t="str">
        <x:f>IF(A486="","",IF(L486="Not run","Pending",IF(OR(L486="Blocked",L486="Not deployed",L486="Not applicable"),IF(OR(K486="",R486=""),"Needs explanation","Recorded"),IF(OR(L486="Pass",L486="Fail"),IF(OR(K486="",M486="",P486=""),"Needs result/evidence/build","Recorded"),"Needs valid status"))))</x:f>
        <x:v>Pending</x:v>
      </x:c>
    </x:row>
    <x:row r="487" ht="66" customHeight="1">
      <x:c r="A487" s="10" t="str">
        <x:v>QA-0483</x:v>
      </x:c>
      <x:c r="B487" s="10" t="str">
        <x:v>T. API contract</x:v>
      </x:c>
      <x:c r="C487" s="10" t="str">
        <x:v>POST /api/staff/profile-groups</x:v>
      </x:c>
      <x:c r="D487" s="10" t="str">
        <x:v>/api/staff/profile-groups</x:v>
      </x:c>
      <x:c r="E487" s="10" t="str">
        <x:v>Technical tester</x:v>
      </x:c>
      <x:c r="F487" s="10" t="str">
        <x:v>P0</x:v>
      </x:c>
      <x:c r="G487" s="10" t="str">
        <x:v>Isolated only</x:v>
      </x:c>
      <x:c r="H487" s="10" t="str">
        <x:v>Isolated app/database; providers disabled or QA allowlist; exact request schema and fixture ID from current source/UI.</x:v>
      </x:c>
      <x:c r="I487" s="10" t="str">
        <x:v>Inspect route and delegated service contract for query/body/allowed actions. Capture a valid request from QA UI, replace dynamic IDs with owned fixture IDs, replay POST /api/staff/profile-groups once in isolated environment. Check status/body/headers and exact database/job effects.</x:v>
      </x:c>
      <x:c r="J487" s="10" t="str">
        <x:v>Valid supported request returns documented result; expected mutations only. Public/token endpoints follow their own policy; no assumption of a universal 200/401 response.</x:v>
      </x:c>
      <x:c r="K487" s="11" t="str"/>
      <x:c r="L487" s="11" t="str">
        <x:v>Not run</x:v>
      </x:c>
      <x:c r="M487" s="11" t="str"/>
      <x:c r="N487" s="11" t="str"/>
      <x:c r="O487" s="11" t="str"/>
      <x:c r="P487" s="11" t="str"/>
      <x:c r="Q487" s="11" t="str"/>
      <x:c r="R487" s="11" t="str"/>
      <x:c r="S487" s="10" t="str">
        <x:v>Sanitized HTTP request/response + before/after query</x:v>
      </x:c>
      <x:c r="T487" s="10" t="str">
        <x:v>src/app/api/staff/profile-groups/route.ts</x:v>
      </x:c>
      <x:c r="U487" s="10" t="str">
        <x:v>Reconcile tagged fixtures; archive/withdraw only owned test publications. Preserve audit/financial history.</x:v>
      </x:c>
      <x:c r="V487" s="12" t="str">
        <x:f>IF(A487="","",IF(L487="Not run","Pending",IF(OR(L487="Blocked",L487="Not deployed",L487="Not applicable"),IF(OR(K487="",R487=""),"Needs explanation","Recorded"),IF(OR(L487="Pass",L487="Fail"),IF(OR(K487="",M487="",P487=""),"Needs result/evidence/build","Recorded"),"Needs valid status"))))</x:f>
        <x:v>Pending</x:v>
      </x:c>
    </x:row>
    <x:row r="488" ht="52" customHeight="1">
      <x:c r="A488" s="10" t="str">
        <x:v>QA-0484</x:v>
      </x:c>
      <x:c r="B488" s="10" t="str">
        <x:v>T. API contract</x:v>
      </x:c>
      <x:c r="C488" s="10" t="str">
        <x:v>POST boundary: /api/staff/profile-groups</x:v>
      </x:c>
      <x:c r="D488" s="10" t="str">
        <x:v>/api/staff/profile-groups</x:v>
      </x:c>
      <x:c r="E488" s="10" t="str">
        <x:v>Technical tester</x:v>
      </x:c>
      <x:c r="F488" s="10" t="str">
        <x:v>P0</x:v>
      </x:c>
      <x:c r="G488" s="10" t="str">
        <x:v>Isolated only</x:v>
      </x:c>
      <x:c r="H488" s="10" t="str">
        <x:v>Record deployed build. Use assigned test accounts, synthetic data and approved fixtures/recipients only.</x:v>
      </x:c>
      <x:c r="I488" s="10" t="str">
        <x:v>Using isolated fixtures, replay POST /api/staff/profile-groups as anonymous, ordinary member, unrelated staff role and wrong owner as applicable. Test every current supported action separately; record authorization differences.</x:v>
      </x:c>
      <x:c r="J488" s="10" t="str">
        <x:v>Authorization matches action-specific grants/ownership/publication; authorized exceptions remain allowed and all unauthorized reads/writes denied without private leakage.</x:v>
      </x:c>
      <x:c r="K488" s="11" t="str"/>
      <x:c r="L488" s="11" t="str">
        <x:v>Not run</x:v>
      </x:c>
      <x:c r="M488" s="11" t="str"/>
      <x:c r="N488" s="11" t="str"/>
      <x:c r="O488" s="11" t="str"/>
      <x:c r="P488" s="11" t="str"/>
      <x:c r="Q488" s="11" t="str"/>
      <x:c r="R488" s="11" t="str"/>
      <x:c r="S488" s="10" t="str">
        <x:v>Role/request matrix + response + unchanged database</x:v>
      </x:c>
      <x:c r="T488" s="10" t="str">
        <x:v>src/app/api/staff/profile-groups/route.ts</x:v>
      </x:c>
      <x:c r="U488" s="10" t="str">
        <x:v>Reconcile tagged fixtures; archive/withdraw only owned test publications. Preserve audit/financial history.</x:v>
      </x:c>
      <x:c r="V488" s="12" t="str">
        <x:f>IF(A488="","",IF(L488="Not run","Pending",IF(OR(L488="Blocked",L488="Not deployed",L488="Not applicable"),IF(OR(K488="",R488=""),"Needs explanation","Recorded"),IF(OR(L488="Pass",L488="Fail"),IF(OR(K488="",M488="",P488=""),"Needs result/evidence/build","Recorded"),"Needs valid status"))))</x:f>
        <x:v>Pending</x:v>
      </x:c>
    </x:row>
    <x:row r="489" ht="66" customHeight="1">
      <x:c r="A489" s="10" t="str">
        <x:v>QA-0485</x:v>
      </x:c>
      <x:c r="B489" s="10" t="str">
        <x:v>T. API contract</x:v>
      </x:c>
      <x:c r="C489" s="10" t="str">
        <x:v>POST /api/staff/profile-reviews</x:v>
      </x:c>
      <x:c r="D489" s="10" t="str">
        <x:v>/api/staff/profile-reviews</x:v>
      </x:c>
      <x:c r="E489" s="10" t="str">
        <x:v>Technical tester</x:v>
      </x:c>
      <x:c r="F489" s="10" t="str">
        <x:v>P0</x:v>
      </x:c>
      <x:c r="G489" s="10" t="str">
        <x:v>Isolated only</x:v>
      </x:c>
      <x:c r="H489" s="10" t="str">
        <x:v>Isolated app/database; providers disabled or QA allowlist; exact request schema and fixture ID from current source/UI.</x:v>
      </x:c>
      <x:c r="I489" s="10" t="str">
        <x:v>Inspect route and delegated service contract for query/body/allowed actions. Capture a valid request from QA UI, replace dynamic IDs with owned fixture IDs, replay POST /api/staff/profile-reviews once in isolated environment. Check status/body/headers and exact database/job effects.</x:v>
      </x:c>
      <x:c r="J489" s="10" t="str">
        <x:v>Valid supported request returns documented result; expected mutations only. Public/token endpoints follow their own policy; no assumption of a universal 200/401 response.</x:v>
      </x:c>
      <x:c r="K489" s="11" t="str"/>
      <x:c r="L489" s="11" t="str">
        <x:v>Not run</x:v>
      </x:c>
      <x:c r="M489" s="11" t="str"/>
      <x:c r="N489" s="11" t="str"/>
      <x:c r="O489" s="11" t="str"/>
      <x:c r="P489" s="11" t="str"/>
      <x:c r="Q489" s="11" t="str"/>
      <x:c r="R489" s="11" t="str"/>
      <x:c r="S489" s="10" t="str">
        <x:v>Sanitized HTTP request/response + before/after query</x:v>
      </x:c>
      <x:c r="T489" s="10" t="str">
        <x:v>src/app/api/staff/profile-reviews/route.ts</x:v>
      </x:c>
      <x:c r="U489" s="10" t="str">
        <x:v>Reconcile tagged fixtures; archive/withdraw only owned test publications. Preserve audit/financial history.</x:v>
      </x:c>
      <x:c r="V489" s="12" t="str">
        <x:f>IF(A489="","",IF(L489="Not run","Pending",IF(OR(L489="Blocked",L489="Not deployed",L489="Not applicable"),IF(OR(K489="",R489=""),"Needs explanation","Recorded"),IF(OR(L489="Pass",L489="Fail"),IF(OR(K489="",M489="",P489=""),"Needs result/evidence/build","Recorded"),"Needs valid status"))))</x:f>
        <x:v>Pending</x:v>
      </x:c>
    </x:row>
    <x:row r="490" ht="52" customHeight="1">
      <x:c r="A490" s="10" t="str">
        <x:v>QA-0486</x:v>
      </x:c>
      <x:c r="B490" s="10" t="str">
        <x:v>T. API contract</x:v>
      </x:c>
      <x:c r="C490" s="10" t="str">
        <x:v>POST boundary: /api/staff/profile-reviews</x:v>
      </x:c>
      <x:c r="D490" s="10" t="str">
        <x:v>/api/staff/profile-reviews</x:v>
      </x:c>
      <x:c r="E490" s="10" t="str">
        <x:v>Technical tester</x:v>
      </x:c>
      <x:c r="F490" s="10" t="str">
        <x:v>P0</x:v>
      </x:c>
      <x:c r="G490" s="10" t="str">
        <x:v>Isolated only</x:v>
      </x:c>
      <x:c r="H490" s="10" t="str">
        <x:v>Record deployed build. Use assigned test accounts, synthetic data and approved fixtures/recipients only.</x:v>
      </x:c>
      <x:c r="I490" s="10" t="str">
        <x:v>Using isolated fixtures, replay POST /api/staff/profile-reviews as anonymous, ordinary member, unrelated staff role and wrong owner as applicable. Test every current supported action separately; record authorization differences.</x:v>
      </x:c>
      <x:c r="J490" s="10" t="str">
        <x:v>Authorization matches action-specific grants/ownership/publication; authorized exceptions remain allowed and all unauthorized reads/writes denied without private leakage.</x:v>
      </x:c>
      <x:c r="K490" s="11" t="str"/>
      <x:c r="L490" s="11" t="str">
        <x:v>Not run</x:v>
      </x:c>
      <x:c r="M490" s="11" t="str"/>
      <x:c r="N490" s="11" t="str"/>
      <x:c r="O490" s="11" t="str"/>
      <x:c r="P490" s="11" t="str"/>
      <x:c r="Q490" s="11" t="str"/>
      <x:c r="R490" s="11" t="str"/>
      <x:c r="S490" s="10" t="str">
        <x:v>Role/request matrix + response + unchanged database</x:v>
      </x:c>
      <x:c r="T490" s="10" t="str">
        <x:v>src/app/api/staff/profile-reviews/route.ts</x:v>
      </x:c>
      <x:c r="U490" s="10" t="str">
        <x:v>Reconcile tagged fixtures; archive/withdraw only owned test publications. Preserve audit/financial history.</x:v>
      </x:c>
      <x:c r="V490" s="12" t="str">
        <x:f>IF(A490="","",IF(L490="Not run","Pending",IF(OR(L490="Blocked",L490="Not deployed",L490="Not applicable"),IF(OR(K490="",R490=""),"Needs explanation","Recorded"),IF(OR(L490="Pass",L490="Fail"),IF(OR(K490="",M490="",P490=""),"Needs result/evidence/build","Recorded"),"Needs valid status"))))</x:f>
        <x:v>Pending</x:v>
      </x:c>
    </x:row>
    <x:row r="491" ht="66" customHeight="1">
      <x:c r="A491" s="10" t="str">
        <x:v>QA-0487</x:v>
      </x:c>
      <x:c r="B491" s="10" t="str">
        <x:v>T. API contract</x:v>
      </x:c>
      <x:c r="C491" s="10" t="str">
        <x:v>GET /api/staff/registration-payments</x:v>
      </x:c>
      <x:c r="D491" s="10" t="str">
        <x:v>/api/staff/registration-payments</x:v>
      </x:c>
      <x:c r="E491" s="10" t="str">
        <x:v>Technical tester</x:v>
      </x:c>
      <x:c r="F491" s="10" t="str">
        <x:v>P1</x:v>
      </x:c>
      <x:c r="G491" s="10" t="str">
        <x:v>Isolated only</x:v>
      </x:c>
      <x:c r="H491" s="10" t="str">
        <x:v>Isolated app/database; providers disabled or QA allowlist; exact request schema and fixture ID from current source/UI.</x:v>
      </x:c>
      <x:c r="I491" s="10" t="str">
        <x:v>Inspect route and delegated service contract for query/body/allowed actions. Capture a valid request from QA UI, replace dynamic IDs with owned fixture IDs, replay GET /api/staff/registration-payments once in isolated environment. Check status/body/headers and exact database/job effects.</x:v>
      </x:c>
      <x:c r="J491" s="10" t="str">
        <x:v>Valid supported request returns documented result; expected mutations only. Public/token endpoints follow their own policy; no assumption of a universal 200/401 response.</x:v>
      </x:c>
      <x:c r="K491" s="11" t="str"/>
      <x:c r="L491" s="11" t="str">
        <x:v>Not run</x:v>
      </x:c>
      <x:c r="M491" s="11" t="str"/>
      <x:c r="N491" s="11" t="str"/>
      <x:c r="O491" s="11" t="str"/>
      <x:c r="P491" s="11" t="str"/>
      <x:c r="Q491" s="11" t="str"/>
      <x:c r="R491" s="11" t="str"/>
      <x:c r="S491" s="10" t="str">
        <x:v>Sanitized HTTP request/response + before/after query</x:v>
      </x:c>
      <x:c r="T491" s="10" t="str">
        <x:v>src/app/api/staff/registration-payments/route.ts</x:v>
      </x:c>
      <x:c r="U491" s="10" t="str">
        <x:v>Reconcile tagged fixtures; archive/withdraw only owned test publications. Preserve audit/financial history.</x:v>
      </x:c>
      <x:c r="V491" s="12" t="str">
        <x:f>IF(A491="","",IF(L491="Not run","Pending",IF(OR(L491="Blocked",L491="Not deployed",L491="Not applicable"),IF(OR(K491="",R491=""),"Needs explanation","Recorded"),IF(OR(L491="Pass",L491="Fail"),IF(OR(K491="",M491="",P491=""),"Needs result/evidence/build","Recorded"),"Needs valid status"))))</x:f>
        <x:v>Pending</x:v>
      </x:c>
    </x:row>
    <x:row r="492" ht="52" customHeight="1">
      <x:c r="A492" s="10" t="str">
        <x:v>QA-0488</x:v>
      </x:c>
      <x:c r="B492" s="10" t="str">
        <x:v>T. API contract</x:v>
      </x:c>
      <x:c r="C492" s="10" t="str">
        <x:v>GET boundary: /api/staff/registration-payments</x:v>
      </x:c>
      <x:c r="D492" s="10" t="str">
        <x:v>/api/staff/registration-payments</x:v>
      </x:c>
      <x:c r="E492" s="10" t="str">
        <x:v>Technical tester</x:v>
      </x:c>
      <x:c r="F492" s="10" t="str">
        <x:v>P0</x:v>
      </x:c>
      <x:c r="G492" s="10" t="str">
        <x:v>Isolated only</x:v>
      </x:c>
      <x:c r="H492" s="10" t="str">
        <x:v>Record deployed build. Use assigned test accounts, synthetic data and approved fixtures/recipients only.</x:v>
      </x:c>
      <x:c r="I492" s="10" t="str">
        <x:v>Using isolated fixtures, replay GET /api/staff/registration-payments as anonymous, ordinary member, unrelated staff role and wrong owner as applicable. Test every current supported action separately; record authorization differences.</x:v>
      </x:c>
      <x:c r="J492" s="10" t="str">
        <x:v>Authorization matches action-specific grants/ownership/publication; authorized exceptions remain allowed and all unauthorized reads/writes denied without private leakage.</x:v>
      </x:c>
      <x:c r="K492" s="11" t="str"/>
      <x:c r="L492" s="11" t="str">
        <x:v>Not run</x:v>
      </x:c>
      <x:c r="M492" s="11" t="str"/>
      <x:c r="N492" s="11" t="str"/>
      <x:c r="O492" s="11" t="str"/>
      <x:c r="P492" s="11" t="str"/>
      <x:c r="Q492" s="11" t="str"/>
      <x:c r="R492" s="11" t="str"/>
      <x:c r="S492" s="10" t="str">
        <x:v>Role/request matrix + response + unchanged database</x:v>
      </x:c>
      <x:c r="T492" s="10" t="str">
        <x:v>src/app/api/staff/registration-payments/route.ts</x:v>
      </x:c>
      <x:c r="U492" s="10" t="str">
        <x:v>Reconcile tagged fixtures; archive/withdraw only owned test publications. Preserve audit/financial history.</x:v>
      </x:c>
      <x:c r="V492" s="12" t="str">
        <x:f>IF(A492="","",IF(L492="Not run","Pending",IF(OR(L492="Blocked",L492="Not deployed",L492="Not applicable"),IF(OR(K492="",R492=""),"Needs explanation","Recorded"),IF(OR(L492="Pass",L492="Fail"),IF(OR(K492="",M492="",P492=""),"Needs result/evidence/build","Recorded"),"Needs valid status"))))</x:f>
        <x:v>Pending</x:v>
      </x:c>
    </x:row>
    <x:row r="493" ht="66" customHeight="1">
      <x:c r="A493" s="10" t="str">
        <x:v>QA-0489</x:v>
      </x:c>
      <x:c r="B493" s="10" t="str">
        <x:v>T. API contract</x:v>
      </x:c>
      <x:c r="C493" s="10" t="str">
        <x:v>POST /api/staff/registration-payments</x:v>
      </x:c>
      <x:c r="D493" s="10" t="str">
        <x:v>/api/staff/registration-payments</x:v>
      </x:c>
      <x:c r="E493" s="10" t="str">
        <x:v>Technical tester</x:v>
      </x:c>
      <x:c r="F493" s="10" t="str">
        <x:v>P0</x:v>
      </x:c>
      <x:c r="G493" s="10" t="str">
        <x:v>Isolated only</x:v>
      </x:c>
      <x:c r="H493" s="10" t="str">
        <x:v>Isolated app/database; providers disabled or QA allowlist; exact request schema and fixture ID from current source/UI.</x:v>
      </x:c>
      <x:c r="I493" s="10" t="str">
        <x:v>Inspect route and delegated service contract for query/body/allowed actions. Capture a valid request from QA UI, replace dynamic IDs with owned fixture IDs, replay POST /api/staff/registration-payments once in isolated environment. Check status/body/headers and exact database/job effects.</x:v>
      </x:c>
      <x:c r="J493" s="10" t="str">
        <x:v>Valid supported request returns documented result; expected mutations only. Public/token endpoints follow their own policy; no assumption of a universal 200/401 response.</x:v>
      </x:c>
      <x:c r="K493" s="11" t="str"/>
      <x:c r="L493" s="11" t="str">
        <x:v>Not run</x:v>
      </x:c>
      <x:c r="M493" s="11" t="str"/>
      <x:c r="N493" s="11" t="str"/>
      <x:c r="O493" s="11" t="str"/>
      <x:c r="P493" s="11" t="str"/>
      <x:c r="Q493" s="11" t="str"/>
      <x:c r="R493" s="11" t="str"/>
      <x:c r="S493" s="10" t="str">
        <x:v>Sanitized HTTP request/response + before/after query</x:v>
      </x:c>
      <x:c r="T493" s="10" t="str">
        <x:v>src/app/api/staff/registration-payments/route.ts</x:v>
      </x:c>
      <x:c r="U493" s="10" t="str">
        <x:v>Reconcile tagged fixtures; archive/withdraw only owned test publications. Preserve audit/financial history.</x:v>
      </x:c>
      <x:c r="V493" s="12" t="str">
        <x:f>IF(A493="","",IF(L493="Not run","Pending",IF(OR(L493="Blocked",L493="Not deployed",L493="Not applicable"),IF(OR(K493="",R493=""),"Needs explanation","Recorded"),IF(OR(L493="Pass",L493="Fail"),IF(OR(K493="",M493="",P493=""),"Needs result/evidence/build","Recorded"),"Needs valid status"))))</x:f>
        <x:v>Pending</x:v>
      </x:c>
    </x:row>
    <x:row r="494" ht="52" customHeight="1">
      <x:c r="A494" s="10" t="str">
        <x:v>QA-0490</x:v>
      </x:c>
      <x:c r="B494" s="10" t="str">
        <x:v>T. API contract</x:v>
      </x:c>
      <x:c r="C494" s="10" t="str">
        <x:v>POST boundary: /api/staff/registration-payments</x:v>
      </x:c>
      <x:c r="D494" s="10" t="str">
        <x:v>/api/staff/registration-payments</x:v>
      </x:c>
      <x:c r="E494" s="10" t="str">
        <x:v>Technical tester</x:v>
      </x:c>
      <x:c r="F494" s="10" t="str">
        <x:v>P0</x:v>
      </x:c>
      <x:c r="G494" s="10" t="str">
        <x:v>Isolated only</x:v>
      </x:c>
      <x:c r="H494" s="10" t="str">
        <x:v>Record deployed build. Use assigned test accounts, synthetic data and approved fixtures/recipients only.</x:v>
      </x:c>
      <x:c r="I494" s="10" t="str">
        <x:v>Using isolated fixtures, replay POST /api/staff/registration-payments as anonymous, ordinary member, unrelated staff role and wrong owner as applicable. Test every current supported action separately; record authorization differences.</x:v>
      </x:c>
      <x:c r="J494" s="10" t="str">
        <x:v>Authorization matches action-specific grants/ownership/publication; authorized exceptions remain allowed and all unauthorized reads/writes denied without private leakage.</x:v>
      </x:c>
      <x:c r="K494" s="11" t="str"/>
      <x:c r="L494" s="11" t="str">
        <x:v>Not run</x:v>
      </x:c>
      <x:c r="M494" s="11" t="str"/>
      <x:c r="N494" s="11" t="str"/>
      <x:c r="O494" s="11" t="str"/>
      <x:c r="P494" s="11" t="str"/>
      <x:c r="Q494" s="11" t="str"/>
      <x:c r="R494" s="11" t="str"/>
      <x:c r="S494" s="10" t="str">
        <x:v>Role/request matrix + response + unchanged database</x:v>
      </x:c>
      <x:c r="T494" s="10" t="str">
        <x:v>src/app/api/staff/registration-payments/route.ts</x:v>
      </x:c>
      <x:c r="U494" s="10" t="str">
        <x:v>Reconcile tagged fixtures; archive/withdraw only owned test publications. Preserve audit/financial history.</x:v>
      </x:c>
      <x:c r="V494" s="12" t="str">
        <x:f>IF(A494="","",IF(L494="Not run","Pending",IF(OR(L494="Blocked",L494="Not deployed",L494="Not applicable"),IF(OR(K494="",R494=""),"Needs explanation","Recorded"),IF(OR(L494="Pass",L494="Fail"),IF(OR(K494="",M494="",P494=""),"Needs result/evidence/build","Recorded"),"Needs valid status"))))</x:f>
        <x:v>Pending</x:v>
      </x:c>
    </x:row>
    <x:row r="495" ht="66" customHeight="1">
      <x:c r="A495" s="10" t="str">
        <x:v>QA-0491</x:v>
      </x:c>
      <x:c r="B495" s="10" t="str">
        <x:v>T. API contract</x:v>
      </x:c>
      <x:c r="C495" s="10" t="str">
        <x:v>POST /api/staff/registrations</x:v>
      </x:c>
      <x:c r="D495" s="10" t="str">
        <x:v>/api/staff/registrations</x:v>
      </x:c>
      <x:c r="E495" s="10" t="str">
        <x:v>Technical tester</x:v>
      </x:c>
      <x:c r="F495" s="10" t="str">
        <x:v>P0</x:v>
      </x:c>
      <x:c r="G495" s="10" t="str">
        <x:v>Isolated only</x:v>
      </x:c>
      <x:c r="H495" s="10" t="str">
        <x:v>Isolated app/database; providers disabled or QA allowlist; exact request schema and fixture ID from current source/UI.</x:v>
      </x:c>
      <x:c r="I495" s="10" t="str">
        <x:v>Inspect route and delegated service contract for query/body/allowed actions. Capture a valid request from QA UI, replace dynamic IDs with owned fixture IDs, replay POST /api/staff/registrations once in isolated environment. Check status/body/headers and exact database/job effects.</x:v>
      </x:c>
      <x:c r="J495" s="10" t="str">
        <x:v>Valid supported request returns documented result; expected mutations only. Public/token endpoints follow their own policy; no assumption of a universal 200/401 response.</x:v>
      </x:c>
      <x:c r="K495" s="11" t="str"/>
      <x:c r="L495" s="11" t="str">
        <x:v>Not run</x:v>
      </x:c>
      <x:c r="M495" s="11" t="str"/>
      <x:c r="N495" s="11" t="str"/>
      <x:c r="O495" s="11" t="str"/>
      <x:c r="P495" s="11" t="str"/>
      <x:c r="Q495" s="11" t="str"/>
      <x:c r="R495" s="11" t="str"/>
      <x:c r="S495" s="10" t="str">
        <x:v>Sanitized HTTP request/response + before/after query</x:v>
      </x:c>
      <x:c r="T495" s="10" t="str">
        <x:v>src/app/api/staff/registrations/route.ts</x:v>
      </x:c>
      <x:c r="U495" s="10" t="str">
        <x:v>Reconcile tagged fixtures; archive/withdraw only owned test publications. Preserve audit/financial history.</x:v>
      </x:c>
      <x:c r="V495" s="12" t="str">
        <x:f>IF(A495="","",IF(L495="Not run","Pending",IF(OR(L495="Blocked",L495="Not deployed",L495="Not applicable"),IF(OR(K495="",R495=""),"Needs explanation","Recorded"),IF(OR(L495="Pass",L495="Fail"),IF(OR(K495="",M495="",P495=""),"Needs result/evidence/build","Recorded"),"Needs valid status"))))</x:f>
        <x:v>Pending</x:v>
      </x:c>
    </x:row>
    <x:row r="496" ht="52" customHeight="1">
      <x:c r="A496" s="10" t="str">
        <x:v>QA-0492</x:v>
      </x:c>
      <x:c r="B496" s="10" t="str">
        <x:v>T. API contract</x:v>
      </x:c>
      <x:c r="C496" s="10" t="str">
        <x:v>POST boundary: /api/staff/registrations</x:v>
      </x:c>
      <x:c r="D496" s="10" t="str">
        <x:v>/api/staff/registrations</x:v>
      </x:c>
      <x:c r="E496" s="10" t="str">
        <x:v>Technical tester</x:v>
      </x:c>
      <x:c r="F496" s="10" t="str">
        <x:v>P0</x:v>
      </x:c>
      <x:c r="G496" s="10" t="str">
        <x:v>Isolated only</x:v>
      </x:c>
      <x:c r="H496" s="10" t="str">
        <x:v>Record deployed build. Use assigned test accounts, synthetic data and approved fixtures/recipients only.</x:v>
      </x:c>
      <x:c r="I496" s="10" t="str">
        <x:v>Using isolated fixtures, replay POST /api/staff/registrations as anonymous, ordinary member, unrelated staff role and wrong owner as applicable. Test every current supported action separately; record authorization differences.</x:v>
      </x:c>
      <x:c r="J496" s="10" t="str">
        <x:v>Authorization matches action-specific grants/ownership/publication; authorized exceptions remain allowed and all unauthorized reads/writes denied without private leakage.</x:v>
      </x:c>
      <x:c r="K496" s="11" t="str"/>
      <x:c r="L496" s="11" t="str">
        <x:v>Not run</x:v>
      </x:c>
      <x:c r="M496" s="11" t="str"/>
      <x:c r="N496" s="11" t="str"/>
      <x:c r="O496" s="11" t="str"/>
      <x:c r="P496" s="11" t="str"/>
      <x:c r="Q496" s="11" t="str"/>
      <x:c r="R496" s="11" t="str"/>
      <x:c r="S496" s="10" t="str">
        <x:v>Role/request matrix + response + unchanged database</x:v>
      </x:c>
      <x:c r="T496" s="10" t="str">
        <x:v>src/app/api/staff/registrations/route.ts</x:v>
      </x:c>
      <x:c r="U496" s="10" t="str">
        <x:v>Reconcile tagged fixtures; archive/withdraw only owned test publications. Preserve audit/financial history.</x:v>
      </x:c>
      <x:c r="V496" s="12" t="str">
        <x:f>IF(A496="","",IF(L496="Not run","Pending",IF(OR(L496="Blocked",L496="Not deployed",L496="Not applicable"),IF(OR(K496="",R496=""),"Needs explanation","Recorded"),IF(OR(L496="Pass",L496="Fail"),IF(OR(K496="",M496="",P496=""),"Needs result/evidence/build","Recorded"),"Needs valid status"))))</x:f>
        <x:v>Pending</x:v>
      </x:c>
    </x:row>
    <x:row r="497" ht="66" customHeight="1">
      <x:c r="A497" s="10" t="str">
        <x:v>QA-0493</x:v>
      </x:c>
      <x:c r="B497" s="10" t="str">
        <x:v>T. API contract</x:v>
      </x:c>
      <x:c r="C497" s="10" t="str">
        <x:v>GET /api/staff/report-presets</x:v>
      </x:c>
      <x:c r="D497" s="10" t="str">
        <x:v>/api/staff/report-presets</x:v>
      </x:c>
      <x:c r="E497" s="10" t="str">
        <x:v>Technical tester</x:v>
      </x:c>
      <x:c r="F497" s="10" t="str">
        <x:v>P1</x:v>
      </x:c>
      <x:c r="G497" s="10" t="str">
        <x:v>Isolated only</x:v>
      </x:c>
      <x:c r="H497" s="10" t="str">
        <x:v>Isolated app/database; providers disabled or QA allowlist; exact request schema and fixture ID from current source/UI.</x:v>
      </x:c>
      <x:c r="I497" s="10" t="str">
        <x:v>Inspect route and delegated service contract for query/body/allowed actions. Capture a valid request from QA UI, replace dynamic IDs with owned fixture IDs, replay GET /api/staff/report-presets once in isolated environment. Check status/body/headers and exact database/job effects.</x:v>
      </x:c>
      <x:c r="J497" s="10" t="str">
        <x:v>Valid supported request returns documented result; expected mutations only. Public/token endpoints follow their own policy; no assumption of a universal 200/401 response.</x:v>
      </x:c>
      <x:c r="K497" s="11" t="str"/>
      <x:c r="L497" s="11" t="str">
        <x:v>Not run</x:v>
      </x:c>
      <x:c r="M497" s="11" t="str"/>
      <x:c r="N497" s="11" t="str"/>
      <x:c r="O497" s="11" t="str"/>
      <x:c r="P497" s="11" t="str"/>
      <x:c r="Q497" s="11" t="str"/>
      <x:c r="R497" s="11" t="str"/>
      <x:c r="S497" s="10" t="str">
        <x:v>Sanitized HTTP request/response + before/after query</x:v>
      </x:c>
      <x:c r="T497" s="10" t="str">
        <x:v>src/app/api/staff/report-presets/route.ts</x:v>
      </x:c>
      <x:c r="U497" s="10" t="str">
        <x:v>Reconcile tagged fixtures; archive/withdraw only owned test publications. Preserve audit/financial history.</x:v>
      </x:c>
      <x:c r="V497" s="12" t="str">
        <x:f>IF(A497="","",IF(L497="Not run","Pending",IF(OR(L497="Blocked",L497="Not deployed",L497="Not applicable"),IF(OR(K497="",R497=""),"Needs explanation","Recorded"),IF(OR(L497="Pass",L497="Fail"),IF(OR(K497="",M497="",P497=""),"Needs result/evidence/build","Recorded"),"Needs valid status"))))</x:f>
        <x:v>Pending</x:v>
      </x:c>
    </x:row>
    <x:row r="498" ht="52" customHeight="1">
      <x:c r="A498" s="10" t="str">
        <x:v>QA-0494</x:v>
      </x:c>
      <x:c r="B498" s="10" t="str">
        <x:v>T. API contract</x:v>
      </x:c>
      <x:c r="C498" s="10" t="str">
        <x:v>GET boundary: /api/staff/report-presets</x:v>
      </x:c>
      <x:c r="D498" s="10" t="str">
        <x:v>/api/staff/report-presets</x:v>
      </x:c>
      <x:c r="E498" s="10" t="str">
        <x:v>Technical tester</x:v>
      </x:c>
      <x:c r="F498" s="10" t="str">
        <x:v>P0</x:v>
      </x:c>
      <x:c r="G498" s="10" t="str">
        <x:v>Isolated only</x:v>
      </x:c>
      <x:c r="H498" s="10" t="str">
        <x:v>Record deployed build. Use assigned test accounts, synthetic data and approved fixtures/recipients only.</x:v>
      </x:c>
      <x:c r="I498" s="10" t="str">
        <x:v>Using isolated fixtures, replay GET /api/staff/report-presets as anonymous, ordinary member, unrelated staff role and wrong owner as applicable. Test every current supported action separately; record authorization differences.</x:v>
      </x:c>
      <x:c r="J498" s="10" t="str">
        <x:v>Authorization matches action-specific grants/ownership/publication; authorized exceptions remain allowed and all unauthorized reads/writes denied without private leakage.</x:v>
      </x:c>
      <x:c r="K498" s="11" t="str"/>
      <x:c r="L498" s="11" t="str">
        <x:v>Not run</x:v>
      </x:c>
      <x:c r="M498" s="11" t="str"/>
      <x:c r="N498" s="11" t="str"/>
      <x:c r="O498" s="11" t="str"/>
      <x:c r="P498" s="11" t="str"/>
      <x:c r="Q498" s="11" t="str"/>
      <x:c r="R498" s="11" t="str"/>
      <x:c r="S498" s="10" t="str">
        <x:v>Role/request matrix + response + unchanged database</x:v>
      </x:c>
      <x:c r="T498" s="10" t="str">
        <x:v>src/app/api/staff/report-presets/route.ts</x:v>
      </x:c>
      <x:c r="U498" s="10" t="str">
        <x:v>Reconcile tagged fixtures; archive/withdraw only owned test publications. Preserve audit/financial history.</x:v>
      </x:c>
      <x:c r="V498" s="12" t="str">
        <x:f>IF(A498="","",IF(L498="Not run","Pending",IF(OR(L498="Blocked",L498="Not deployed",L498="Not applicable"),IF(OR(K498="",R498=""),"Needs explanation","Recorded"),IF(OR(L498="Pass",L498="Fail"),IF(OR(K498="",M498="",P498=""),"Needs result/evidence/build","Recorded"),"Needs valid status"))))</x:f>
        <x:v>Pending</x:v>
      </x:c>
    </x:row>
    <x:row r="499" ht="66" customHeight="1">
      <x:c r="A499" s="10" t="str">
        <x:v>QA-0495</x:v>
      </x:c>
      <x:c r="B499" s="10" t="str">
        <x:v>T. API contract</x:v>
      </x:c>
      <x:c r="C499" s="10" t="str">
        <x:v>POST /api/staff/report-presets</x:v>
      </x:c>
      <x:c r="D499" s="10" t="str">
        <x:v>/api/staff/report-presets</x:v>
      </x:c>
      <x:c r="E499" s="10" t="str">
        <x:v>Technical tester</x:v>
      </x:c>
      <x:c r="F499" s="10" t="str">
        <x:v>P0</x:v>
      </x:c>
      <x:c r="G499" s="10" t="str">
        <x:v>Isolated only</x:v>
      </x:c>
      <x:c r="H499" s="10" t="str">
        <x:v>Isolated app/database; providers disabled or QA allowlist; exact request schema and fixture ID from current source/UI.</x:v>
      </x:c>
      <x:c r="I499" s="10" t="str">
        <x:v>Inspect route and delegated service contract for query/body/allowed actions. Capture a valid request from QA UI, replace dynamic IDs with owned fixture IDs, replay POST /api/staff/report-presets once in isolated environment. Check status/body/headers and exact database/job effects.</x:v>
      </x:c>
      <x:c r="J499" s="10" t="str">
        <x:v>Valid supported request returns documented result; expected mutations only. Public/token endpoints follow their own policy; no assumption of a universal 200/401 response.</x:v>
      </x:c>
      <x:c r="K499" s="11" t="str"/>
      <x:c r="L499" s="11" t="str">
        <x:v>Not run</x:v>
      </x:c>
      <x:c r="M499" s="11" t="str"/>
      <x:c r="N499" s="11" t="str"/>
      <x:c r="O499" s="11" t="str"/>
      <x:c r="P499" s="11" t="str"/>
      <x:c r="Q499" s="11" t="str"/>
      <x:c r="R499" s="11" t="str"/>
      <x:c r="S499" s="10" t="str">
        <x:v>Sanitized HTTP request/response + before/after query</x:v>
      </x:c>
      <x:c r="T499" s="10" t="str">
        <x:v>src/app/api/staff/report-presets/route.ts</x:v>
      </x:c>
      <x:c r="U499" s="10" t="str">
        <x:v>Reconcile tagged fixtures; archive/withdraw only owned test publications. Preserve audit/financial history.</x:v>
      </x:c>
      <x:c r="V499" s="12" t="str">
        <x:f>IF(A499="","",IF(L499="Not run","Pending",IF(OR(L499="Blocked",L499="Not deployed",L499="Not applicable"),IF(OR(K499="",R499=""),"Needs explanation","Recorded"),IF(OR(L499="Pass",L499="Fail"),IF(OR(K499="",M499="",P499=""),"Needs result/evidence/build","Recorded"),"Needs valid status"))))</x:f>
        <x:v>Pending</x:v>
      </x:c>
    </x:row>
    <x:row r="500" ht="52" customHeight="1">
      <x:c r="A500" s="10" t="str">
        <x:v>QA-0496</x:v>
      </x:c>
      <x:c r="B500" s="10" t="str">
        <x:v>T. API contract</x:v>
      </x:c>
      <x:c r="C500" s="10" t="str">
        <x:v>POST boundary: /api/staff/report-presets</x:v>
      </x:c>
      <x:c r="D500" s="10" t="str">
        <x:v>/api/staff/report-presets</x:v>
      </x:c>
      <x:c r="E500" s="10" t="str">
        <x:v>Technical tester</x:v>
      </x:c>
      <x:c r="F500" s="10" t="str">
        <x:v>P0</x:v>
      </x:c>
      <x:c r="G500" s="10" t="str">
        <x:v>Isolated only</x:v>
      </x:c>
      <x:c r="H500" s="10" t="str">
        <x:v>Record deployed build. Use assigned test accounts, synthetic data and approved fixtures/recipients only.</x:v>
      </x:c>
      <x:c r="I500" s="10" t="str">
        <x:v>Using isolated fixtures, replay POST /api/staff/report-presets as anonymous, ordinary member, unrelated staff role and wrong owner as applicable. Test every current supported action separately; record authorization differences.</x:v>
      </x:c>
      <x:c r="J500" s="10" t="str">
        <x:v>Authorization matches action-specific grants/ownership/publication; authorized exceptions remain allowed and all unauthorized reads/writes denied without private leakage.</x:v>
      </x:c>
      <x:c r="K500" s="11" t="str"/>
      <x:c r="L500" s="11" t="str">
        <x:v>Not run</x:v>
      </x:c>
      <x:c r="M500" s="11" t="str"/>
      <x:c r="N500" s="11" t="str"/>
      <x:c r="O500" s="11" t="str"/>
      <x:c r="P500" s="11" t="str"/>
      <x:c r="Q500" s="11" t="str"/>
      <x:c r="R500" s="11" t="str"/>
      <x:c r="S500" s="10" t="str">
        <x:v>Role/request matrix + response + unchanged database</x:v>
      </x:c>
      <x:c r="T500" s="10" t="str">
        <x:v>src/app/api/staff/report-presets/route.ts</x:v>
      </x:c>
      <x:c r="U500" s="10" t="str">
        <x:v>Reconcile tagged fixtures; archive/withdraw only owned test publications. Preserve audit/financial history.</x:v>
      </x:c>
      <x:c r="V500" s="12" t="str">
        <x:f>IF(A500="","",IF(L500="Not run","Pending",IF(OR(L500="Blocked",L500="Not deployed",L500="Not applicable"),IF(OR(K500="",R500=""),"Needs explanation","Recorded"),IF(OR(L500="Pass",L500="Fail"),IF(OR(K500="",M500="",P500=""),"Needs result/evidence/build","Recorded"),"Needs valid status"))))</x:f>
        <x:v>Pending</x:v>
      </x:c>
    </x:row>
    <x:row r="501" ht="66" customHeight="1">
      <x:c r="A501" s="10" t="str">
        <x:v>QA-0497</x:v>
      </x:c>
      <x:c r="B501" s="10" t="str">
        <x:v>T. API contract</x:v>
      </x:c>
      <x:c r="C501" s="10" t="str">
        <x:v>GET /api/staff/reports/export</x:v>
      </x:c>
      <x:c r="D501" s="10" t="str">
        <x:v>/api/staff/reports/export</x:v>
      </x:c>
      <x:c r="E501" s="10" t="str">
        <x:v>Technical tester</x:v>
      </x:c>
      <x:c r="F501" s="10" t="str">
        <x:v>P1</x:v>
      </x:c>
      <x:c r="G501" s="10" t="str">
        <x:v>Isolated only</x:v>
      </x:c>
      <x:c r="H501" s="10" t="str">
        <x:v>Isolated app/database; providers disabled or QA allowlist; exact request schema and fixture ID from current source/UI.</x:v>
      </x:c>
      <x:c r="I501" s="10" t="str">
        <x:v>Inspect route and delegated service contract for query/body/allowed actions. Capture a valid request from QA UI, replace dynamic IDs with owned fixture IDs, replay GET /api/staff/reports/export once in isolated environment. Check status/body/headers and exact database/job effects.</x:v>
      </x:c>
      <x:c r="J501" s="10" t="str">
        <x:v>Valid supported request returns documented result; expected mutations only. Public/token endpoints follow their own policy; no assumption of a universal 200/401 response.</x:v>
      </x:c>
      <x:c r="K501" s="11" t="str"/>
      <x:c r="L501" s="11" t="str">
        <x:v>Not run</x:v>
      </x:c>
      <x:c r="M501" s="11" t="str"/>
      <x:c r="N501" s="11" t="str"/>
      <x:c r="O501" s="11" t="str"/>
      <x:c r="P501" s="11" t="str"/>
      <x:c r="Q501" s="11" t="str"/>
      <x:c r="R501" s="11" t="str"/>
      <x:c r="S501" s="10" t="str">
        <x:v>Sanitized HTTP request/response + before/after query</x:v>
      </x:c>
      <x:c r="T501" s="10" t="str">
        <x:v>src/app/api/staff/reports/export/route.ts</x:v>
      </x:c>
      <x:c r="U501" s="10" t="str">
        <x:v>Reconcile tagged fixtures; archive/withdraw only owned test publications. Preserve audit/financial history.</x:v>
      </x:c>
      <x:c r="V501" s="12" t="str">
        <x:f>IF(A501="","",IF(L501="Not run","Pending",IF(OR(L501="Blocked",L501="Not deployed",L501="Not applicable"),IF(OR(K501="",R501=""),"Needs explanation","Recorded"),IF(OR(L501="Pass",L501="Fail"),IF(OR(K501="",M501="",P501=""),"Needs result/evidence/build","Recorded"),"Needs valid status"))))</x:f>
        <x:v>Pending</x:v>
      </x:c>
    </x:row>
    <x:row r="502" ht="52" customHeight="1">
      <x:c r="A502" s="10" t="str">
        <x:v>QA-0498</x:v>
      </x:c>
      <x:c r="B502" s="10" t="str">
        <x:v>T. API contract</x:v>
      </x:c>
      <x:c r="C502" s="10" t="str">
        <x:v>GET boundary: /api/staff/reports/export</x:v>
      </x:c>
      <x:c r="D502" s="10" t="str">
        <x:v>/api/staff/reports/export</x:v>
      </x:c>
      <x:c r="E502" s="10" t="str">
        <x:v>Technical tester</x:v>
      </x:c>
      <x:c r="F502" s="10" t="str">
        <x:v>P0</x:v>
      </x:c>
      <x:c r="G502" s="10" t="str">
        <x:v>Isolated only</x:v>
      </x:c>
      <x:c r="H502" s="10" t="str">
        <x:v>Record deployed build. Use assigned test accounts, synthetic data and approved fixtures/recipients only.</x:v>
      </x:c>
      <x:c r="I502" s="10" t="str">
        <x:v>Using isolated fixtures, replay GET /api/staff/reports/export as anonymous, ordinary member, unrelated staff role and wrong owner as applicable. Test every current supported action separately; record authorization differences.</x:v>
      </x:c>
      <x:c r="J502" s="10" t="str">
        <x:v>Authorization matches action-specific grants/ownership/publication; authorized exceptions remain allowed and all unauthorized reads/writes denied without private leakage.</x:v>
      </x:c>
      <x:c r="K502" s="11" t="str"/>
      <x:c r="L502" s="11" t="str">
        <x:v>Not run</x:v>
      </x:c>
      <x:c r="M502" s="11" t="str"/>
      <x:c r="N502" s="11" t="str"/>
      <x:c r="O502" s="11" t="str"/>
      <x:c r="P502" s="11" t="str"/>
      <x:c r="Q502" s="11" t="str"/>
      <x:c r="R502" s="11" t="str"/>
      <x:c r="S502" s="10" t="str">
        <x:v>Role/request matrix + response + unchanged database</x:v>
      </x:c>
      <x:c r="T502" s="10" t="str">
        <x:v>src/app/api/staff/reports/export/route.ts</x:v>
      </x:c>
      <x:c r="U502" s="10" t="str">
        <x:v>Reconcile tagged fixtures; archive/withdraw only owned test publications. Preserve audit/financial history.</x:v>
      </x:c>
      <x:c r="V502" s="12" t="str">
        <x:f>IF(A502="","",IF(L502="Not run","Pending",IF(OR(L502="Blocked",L502="Not deployed",L502="Not applicable"),IF(OR(K502="",R502=""),"Needs explanation","Recorded"),IF(OR(L502="Pass",L502="Fail"),IF(OR(K502="",M502="",P502=""),"Needs result/evidence/build","Recorded"),"Needs valid status"))))</x:f>
        <x:v>Pending</x:v>
      </x:c>
    </x:row>
    <x:row r="503" ht="66" customHeight="1">
      <x:c r="A503" s="10" t="str">
        <x:v>QA-0499</x:v>
      </x:c>
      <x:c r="B503" s="10" t="str">
        <x:v>T. API contract</x:v>
      </x:c>
      <x:c r="C503" s="10" t="str">
        <x:v>GET /api/staff/reports</x:v>
      </x:c>
      <x:c r="D503" s="10" t="str">
        <x:v>/api/staff/reports</x:v>
      </x:c>
      <x:c r="E503" s="10" t="str">
        <x:v>Technical tester</x:v>
      </x:c>
      <x:c r="F503" s="10" t="str">
        <x:v>P1</x:v>
      </x:c>
      <x:c r="G503" s="10" t="str">
        <x:v>Isolated only</x:v>
      </x:c>
      <x:c r="H503" s="10" t="str">
        <x:v>Isolated app/database; providers disabled or QA allowlist; exact request schema and fixture ID from current source/UI.</x:v>
      </x:c>
      <x:c r="I503" s="10" t="str">
        <x:v>Inspect route and delegated service contract for query/body/allowed actions. Capture a valid request from QA UI, replace dynamic IDs with owned fixture IDs, replay GET /api/staff/reports once in isolated environment. Check status/body/headers and exact database/job effects.</x:v>
      </x:c>
      <x:c r="J503" s="10" t="str">
        <x:v>Valid supported request returns documented result; expected mutations only. Public/token endpoints follow their own policy; no assumption of a universal 200/401 response.</x:v>
      </x:c>
      <x:c r="K503" s="11" t="str"/>
      <x:c r="L503" s="11" t="str">
        <x:v>Not run</x:v>
      </x:c>
      <x:c r="M503" s="11" t="str"/>
      <x:c r="N503" s="11" t="str"/>
      <x:c r="O503" s="11" t="str"/>
      <x:c r="P503" s="11" t="str"/>
      <x:c r="Q503" s="11" t="str"/>
      <x:c r="R503" s="11" t="str"/>
      <x:c r="S503" s="10" t="str">
        <x:v>Sanitized HTTP request/response + before/after query</x:v>
      </x:c>
      <x:c r="T503" s="10" t="str">
        <x:v>src/app/api/staff/reports/route.ts</x:v>
      </x:c>
      <x:c r="U503" s="10" t="str">
        <x:v>Reconcile tagged fixtures; archive/withdraw only owned test publications. Preserve audit/financial history.</x:v>
      </x:c>
      <x:c r="V503" s="12" t="str">
        <x:f>IF(A503="","",IF(L503="Not run","Pending",IF(OR(L503="Blocked",L503="Not deployed",L503="Not applicable"),IF(OR(K503="",R503=""),"Needs explanation","Recorded"),IF(OR(L503="Pass",L503="Fail"),IF(OR(K503="",M503="",P503=""),"Needs result/evidence/build","Recorded"),"Needs valid status"))))</x:f>
        <x:v>Pending</x:v>
      </x:c>
    </x:row>
    <x:row r="504" ht="52" customHeight="1">
      <x:c r="A504" s="10" t="str">
        <x:v>QA-0500</x:v>
      </x:c>
      <x:c r="B504" s="10" t="str">
        <x:v>T. API contract</x:v>
      </x:c>
      <x:c r="C504" s="10" t="str">
        <x:v>GET boundary: /api/staff/reports</x:v>
      </x:c>
      <x:c r="D504" s="10" t="str">
        <x:v>/api/staff/reports</x:v>
      </x:c>
      <x:c r="E504" s="10" t="str">
        <x:v>Technical tester</x:v>
      </x:c>
      <x:c r="F504" s="10" t="str">
        <x:v>P0</x:v>
      </x:c>
      <x:c r="G504" s="10" t="str">
        <x:v>Isolated only</x:v>
      </x:c>
      <x:c r="H504" s="10" t="str">
        <x:v>Record deployed build. Use assigned test accounts, synthetic data and approved fixtures/recipients only.</x:v>
      </x:c>
      <x:c r="I504" s="10" t="str">
        <x:v>Using isolated fixtures, replay GET /api/staff/reports as anonymous, ordinary member, unrelated staff role and wrong owner as applicable. Test every current supported action separately; record authorization differences.</x:v>
      </x:c>
      <x:c r="J504" s="10" t="str">
        <x:v>Authorization matches action-specific grants/ownership/publication; authorized exceptions remain allowed and all unauthorized reads/writes denied without private leakage.</x:v>
      </x:c>
      <x:c r="K504" s="11" t="str"/>
      <x:c r="L504" s="11" t="str">
        <x:v>Not run</x:v>
      </x:c>
      <x:c r="M504" s="11" t="str"/>
      <x:c r="N504" s="11" t="str"/>
      <x:c r="O504" s="11" t="str"/>
      <x:c r="P504" s="11" t="str"/>
      <x:c r="Q504" s="11" t="str"/>
      <x:c r="R504" s="11" t="str"/>
      <x:c r="S504" s="10" t="str">
        <x:v>Role/request matrix + response + unchanged database</x:v>
      </x:c>
      <x:c r="T504" s="10" t="str">
        <x:v>src/app/api/staff/reports/route.ts</x:v>
      </x:c>
      <x:c r="U504" s="10" t="str">
        <x:v>Reconcile tagged fixtures; archive/withdraw only owned test publications. Preserve audit/financial history.</x:v>
      </x:c>
      <x:c r="V504" s="12" t="str">
        <x:f>IF(A504="","",IF(L504="Not run","Pending",IF(OR(L504="Blocked",L504="Not deployed",L504="Not applicable"),IF(OR(K504="",R504=""),"Needs explanation","Recorded"),IF(OR(L504="Pass",L504="Fail"),IF(OR(K504="",M504="",P504=""),"Needs result/evidence/build","Recorded"),"Needs valid status"))))</x:f>
        <x:v>Pending</x:v>
      </x:c>
    </x:row>
    <x:row r="505" ht="66" customHeight="1">
      <x:c r="A505" s="10" t="str">
        <x:v>QA-0501</x:v>
      </x:c>
      <x:c r="B505" s="10" t="str">
        <x:v>T. API contract</x:v>
      </x:c>
      <x:c r="C505" s="10" t="str">
        <x:v>GET /api/staff/search</x:v>
      </x:c>
      <x:c r="D505" s="10" t="str">
        <x:v>/api/staff/search</x:v>
      </x:c>
      <x:c r="E505" s="10" t="str">
        <x:v>Technical tester</x:v>
      </x:c>
      <x:c r="F505" s="10" t="str">
        <x:v>P1</x:v>
      </x:c>
      <x:c r="G505" s="10" t="str">
        <x:v>Isolated only</x:v>
      </x:c>
      <x:c r="H505" s="10" t="str">
        <x:v>Isolated app/database; providers disabled or QA allowlist; exact request schema and fixture ID from current source/UI.</x:v>
      </x:c>
      <x:c r="I505" s="10" t="str">
        <x:v>Inspect route and delegated service contract for query/body/allowed actions. Capture a valid request from QA UI, replace dynamic IDs with owned fixture IDs, replay GET /api/staff/search once in isolated environment. Check status/body/headers and exact database/job effects.</x:v>
      </x:c>
      <x:c r="J505" s="10" t="str">
        <x:v>Valid supported request returns documented result; expected mutations only. Public/token endpoints follow their own policy; no assumption of a universal 200/401 response.</x:v>
      </x:c>
      <x:c r="K505" s="11" t="str"/>
      <x:c r="L505" s="11" t="str">
        <x:v>Not run</x:v>
      </x:c>
      <x:c r="M505" s="11" t="str"/>
      <x:c r="N505" s="11" t="str"/>
      <x:c r="O505" s="11" t="str"/>
      <x:c r="P505" s="11" t="str"/>
      <x:c r="Q505" s="11" t="str"/>
      <x:c r="R505" s="11" t="str"/>
      <x:c r="S505" s="10" t="str">
        <x:v>Sanitized HTTP request/response + before/after query</x:v>
      </x:c>
      <x:c r="T505" s="10" t="str">
        <x:v>src/app/api/staff/search/route.ts</x:v>
      </x:c>
      <x:c r="U505" s="10" t="str">
        <x:v>Reconcile tagged fixtures; archive/withdraw only owned test publications. Preserve audit/financial history.</x:v>
      </x:c>
      <x:c r="V505" s="12" t="str">
        <x:f>IF(A505="","",IF(L505="Not run","Pending",IF(OR(L505="Blocked",L505="Not deployed",L505="Not applicable"),IF(OR(K505="",R505=""),"Needs explanation","Recorded"),IF(OR(L505="Pass",L505="Fail"),IF(OR(K505="",M505="",P505=""),"Needs result/evidence/build","Recorded"),"Needs valid status"))))</x:f>
        <x:v>Pending</x:v>
      </x:c>
    </x:row>
    <x:row r="506" ht="52" customHeight="1">
      <x:c r="A506" s="10" t="str">
        <x:v>QA-0502</x:v>
      </x:c>
      <x:c r="B506" s="10" t="str">
        <x:v>T. API contract</x:v>
      </x:c>
      <x:c r="C506" s="10" t="str">
        <x:v>GET boundary: /api/staff/search</x:v>
      </x:c>
      <x:c r="D506" s="10" t="str">
        <x:v>/api/staff/search</x:v>
      </x:c>
      <x:c r="E506" s="10" t="str">
        <x:v>Technical tester</x:v>
      </x:c>
      <x:c r="F506" s="10" t="str">
        <x:v>P0</x:v>
      </x:c>
      <x:c r="G506" s="10" t="str">
        <x:v>Isolated only</x:v>
      </x:c>
      <x:c r="H506" s="10" t="str">
        <x:v>Record deployed build. Use assigned test accounts, synthetic data and approved fixtures/recipients only.</x:v>
      </x:c>
      <x:c r="I506" s="10" t="str">
        <x:v>Using isolated fixtures, replay GET /api/staff/search as anonymous, ordinary member, unrelated staff role and wrong owner as applicable. Test every current supported action separately; record authorization differences.</x:v>
      </x:c>
      <x:c r="J506" s="10" t="str">
        <x:v>Authorization matches action-specific grants/ownership/publication; authorized exceptions remain allowed and all unauthorized reads/writes denied without private leakage.</x:v>
      </x:c>
      <x:c r="K506" s="11" t="str"/>
      <x:c r="L506" s="11" t="str">
        <x:v>Not run</x:v>
      </x:c>
      <x:c r="M506" s="11" t="str"/>
      <x:c r="N506" s="11" t="str"/>
      <x:c r="O506" s="11" t="str"/>
      <x:c r="P506" s="11" t="str"/>
      <x:c r="Q506" s="11" t="str"/>
      <x:c r="R506" s="11" t="str"/>
      <x:c r="S506" s="10" t="str">
        <x:v>Role/request matrix + response + unchanged database</x:v>
      </x:c>
      <x:c r="T506" s="10" t="str">
        <x:v>src/app/api/staff/search/route.ts</x:v>
      </x:c>
      <x:c r="U506" s="10" t="str">
        <x:v>Reconcile tagged fixtures; archive/withdraw only owned test publications. Preserve audit/financial history.</x:v>
      </x:c>
      <x:c r="V506" s="12" t="str">
        <x:f>IF(A506="","",IF(L506="Not run","Pending",IF(OR(L506="Blocked",L506="Not deployed",L506="Not applicable"),IF(OR(K506="",R506=""),"Needs explanation","Recorded"),IF(OR(L506="Pass",L506="Fail"),IF(OR(K506="",M506="",P506=""),"Needs result/evidence/build","Recorded"),"Needs valid status"))))</x:f>
        <x:v>Pending</x:v>
      </x:c>
    </x:row>
    <x:row r="507" ht="66" customHeight="1">
      <x:c r="A507" s="10" t="str">
        <x:v>QA-0503</x:v>
      </x:c>
      <x:c r="B507" s="10" t="str">
        <x:v>T. API contract</x:v>
      </x:c>
      <x:c r="C507" s="10" t="str">
        <x:v>GET /api/staff/verification</x:v>
      </x:c>
      <x:c r="D507" s="10" t="str">
        <x:v>/api/staff/verification</x:v>
      </x:c>
      <x:c r="E507" s="10" t="str">
        <x:v>Technical tester</x:v>
      </x:c>
      <x:c r="F507" s="10" t="str">
        <x:v>P1</x:v>
      </x:c>
      <x:c r="G507" s="10" t="str">
        <x:v>Isolated only</x:v>
      </x:c>
      <x:c r="H507" s="10" t="str">
        <x:v>Isolated app/database; providers disabled or QA allowlist; exact request schema and fixture ID from current source/UI.</x:v>
      </x:c>
      <x:c r="I507" s="10" t="str">
        <x:v>Inspect route and delegated service contract for query/body/allowed actions. Capture a valid request from QA UI, replace dynamic IDs with owned fixture IDs, replay GET /api/staff/verification once in isolated environment. Check status/body/headers and exact database/job effects.</x:v>
      </x:c>
      <x:c r="J507" s="10" t="str">
        <x:v>Valid supported request returns documented result; expected mutations only. Public/token endpoints follow their own policy; no assumption of a universal 200/401 response.</x:v>
      </x:c>
      <x:c r="K507" s="11" t="str"/>
      <x:c r="L507" s="11" t="str">
        <x:v>Not run</x:v>
      </x:c>
      <x:c r="M507" s="11" t="str"/>
      <x:c r="N507" s="11" t="str"/>
      <x:c r="O507" s="11" t="str"/>
      <x:c r="P507" s="11" t="str"/>
      <x:c r="Q507" s="11" t="str"/>
      <x:c r="R507" s="11" t="str"/>
      <x:c r="S507" s="10" t="str">
        <x:v>Sanitized HTTP request/response + before/after query</x:v>
      </x:c>
      <x:c r="T507" s="10" t="str">
        <x:v>src/app/api/staff/verification/route.ts</x:v>
      </x:c>
      <x:c r="U507" s="10" t="str">
        <x:v>Reconcile tagged fixtures; archive/withdraw only owned test publications. Preserve audit/financial history.</x:v>
      </x:c>
      <x:c r="V507" s="12" t="str">
        <x:f>IF(A507="","",IF(L507="Not run","Pending",IF(OR(L507="Blocked",L507="Not deployed",L507="Not applicable"),IF(OR(K507="",R507=""),"Needs explanation","Recorded"),IF(OR(L507="Pass",L507="Fail"),IF(OR(K507="",M507="",P507=""),"Needs result/evidence/build","Recorded"),"Needs valid status"))))</x:f>
        <x:v>Pending</x:v>
      </x:c>
    </x:row>
    <x:row r="508" ht="52" customHeight="1">
      <x:c r="A508" s="10" t="str">
        <x:v>QA-0504</x:v>
      </x:c>
      <x:c r="B508" s="10" t="str">
        <x:v>T. API contract</x:v>
      </x:c>
      <x:c r="C508" s="10" t="str">
        <x:v>GET boundary: /api/staff/verification</x:v>
      </x:c>
      <x:c r="D508" s="10" t="str">
        <x:v>/api/staff/verification</x:v>
      </x:c>
      <x:c r="E508" s="10" t="str">
        <x:v>Technical tester</x:v>
      </x:c>
      <x:c r="F508" s="10" t="str">
        <x:v>P0</x:v>
      </x:c>
      <x:c r="G508" s="10" t="str">
        <x:v>Isolated only</x:v>
      </x:c>
      <x:c r="H508" s="10" t="str">
        <x:v>Record deployed build. Use assigned test accounts, synthetic data and approved fixtures/recipients only.</x:v>
      </x:c>
      <x:c r="I508" s="10" t="str">
        <x:v>Using isolated fixtures, replay GET /api/staff/verification as anonymous, ordinary member, unrelated staff role and wrong owner as applicable. Test every current supported action separately; record authorization differences.</x:v>
      </x:c>
      <x:c r="J508" s="10" t="str">
        <x:v>Authorization matches action-specific grants/ownership/publication; authorized exceptions remain allowed and all unauthorized reads/writes denied without private leakage.</x:v>
      </x:c>
      <x:c r="K508" s="11" t="str"/>
      <x:c r="L508" s="11" t="str">
        <x:v>Not run</x:v>
      </x:c>
      <x:c r="M508" s="11" t="str"/>
      <x:c r="N508" s="11" t="str"/>
      <x:c r="O508" s="11" t="str"/>
      <x:c r="P508" s="11" t="str"/>
      <x:c r="Q508" s="11" t="str"/>
      <x:c r="R508" s="11" t="str"/>
      <x:c r="S508" s="10" t="str">
        <x:v>Role/request matrix + response + unchanged database</x:v>
      </x:c>
      <x:c r="T508" s="10" t="str">
        <x:v>src/app/api/staff/verification/route.ts</x:v>
      </x:c>
      <x:c r="U508" s="10" t="str">
        <x:v>Reconcile tagged fixtures; archive/withdraw only owned test publications. Preserve audit/financial history.</x:v>
      </x:c>
      <x:c r="V508" s="12" t="str">
        <x:f>IF(A508="","",IF(L508="Not run","Pending",IF(OR(L508="Blocked",L508="Not deployed",L508="Not applicable"),IF(OR(K508="",R508=""),"Needs explanation","Recorded"),IF(OR(L508="Pass",L508="Fail"),IF(OR(K508="",M508="",P508=""),"Needs result/evidence/build","Recorded"),"Needs valid status"))))</x:f>
        <x:v>Pending</x:v>
      </x:c>
    </x:row>
    <x:row r="509" ht="66" customHeight="1">
      <x:c r="A509" s="10" t="str">
        <x:v>QA-0505</x:v>
      </x:c>
      <x:c r="B509" s="10" t="str">
        <x:v>T. API contract</x:v>
      </x:c>
      <x:c r="C509" s="10" t="str">
        <x:v>POST /api/staff/verification</x:v>
      </x:c>
      <x:c r="D509" s="10" t="str">
        <x:v>/api/staff/verification</x:v>
      </x:c>
      <x:c r="E509" s="10" t="str">
        <x:v>Technical tester</x:v>
      </x:c>
      <x:c r="F509" s="10" t="str">
        <x:v>P0</x:v>
      </x:c>
      <x:c r="G509" s="10" t="str">
        <x:v>Isolated only</x:v>
      </x:c>
      <x:c r="H509" s="10" t="str">
        <x:v>Isolated app/database; providers disabled or QA allowlist; exact request schema and fixture ID from current source/UI.</x:v>
      </x:c>
      <x:c r="I509" s="10" t="str">
        <x:v>Inspect route and delegated service contract for query/body/allowed actions. Capture a valid request from QA UI, replace dynamic IDs with owned fixture IDs, replay POST /api/staff/verification once in isolated environment. Check status/body/headers and exact database/job effects.</x:v>
      </x:c>
      <x:c r="J509" s="10" t="str">
        <x:v>Valid supported request returns documented result; expected mutations only. Public/token endpoints follow their own policy; no assumption of a universal 200/401 response.</x:v>
      </x:c>
      <x:c r="K509" s="11" t="str"/>
      <x:c r="L509" s="11" t="str">
        <x:v>Not run</x:v>
      </x:c>
      <x:c r="M509" s="11" t="str"/>
      <x:c r="N509" s="11" t="str"/>
      <x:c r="O509" s="11" t="str"/>
      <x:c r="P509" s="11" t="str"/>
      <x:c r="Q509" s="11" t="str"/>
      <x:c r="R509" s="11" t="str"/>
      <x:c r="S509" s="10" t="str">
        <x:v>Sanitized HTTP request/response + before/after query</x:v>
      </x:c>
      <x:c r="T509" s="10" t="str">
        <x:v>src/app/api/staff/verification/route.ts</x:v>
      </x:c>
      <x:c r="U509" s="10" t="str">
        <x:v>Reconcile tagged fixtures; archive/withdraw only owned test publications. Preserve audit/financial history.</x:v>
      </x:c>
      <x:c r="V509" s="12" t="str">
        <x:f>IF(A509="","",IF(L509="Not run","Pending",IF(OR(L509="Blocked",L509="Not deployed",L509="Not applicable"),IF(OR(K509="",R509=""),"Needs explanation","Recorded"),IF(OR(L509="Pass",L509="Fail"),IF(OR(K509="",M509="",P509=""),"Needs result/evidence/build","Recorded"),"Needs valid status"))))</x:f>
        <x:v>Pending</x:v>
      </x:c>
    </x:row>
    <x:row r="510" ht="52" customHeight="1">
      <x:c r="A510" s="10" t="str">
        <x:v>QA-0506</x:v>
      </x:c>
      <x:c r="B510" s="10" t="str">
        <x:v>T. API contract</x:v>
      </x:c>
      <x:c r="C510" s="10" t="str">
        <x:v>POST boundary: /api/staff/verification</x:v>
      </x:c>
      <x:c r="D510" s="10" t="str">
        <x:v>/api/staff/verification</x:v>
      </x:c>
      <x:c r="E510" s="10" t="str">
        <x:v>Technical tester</x:v>
      </x:c>
      <x:c r="F510" s="10" t="str">
        <x:v>P0</x:v>
      </x:c>
      <x:c r="G510" s="10" t="str">
        <x:v>Isolated only</x:v>
      </x:c>
      <x:c r="H510" s="10" t="str">
        <x:v>Record deployed build. Use assigned test accounts, synthetic data and approved fixtures/recipients only.</x:v>
      </x:c>
      <x:c r="I510" s="10" t="str">
        <x:v>Using isolated fixtures, replay POST /api/staff/verification as anonymous, ordinary member, unrelated staff role and wrong owner as applicable. Test every current supported action separately; record authorization differences.</x:v>
      </x:c>
      <x:c r="J510" s="10" t="str">
        <x:v>Authorization matches action-specific grants/ownership/publication; authorized exceptions remain allowed and all unauthorized reads/writes denied without private leakage.</x:v>
      </x:c>
      <x:c r="K510" s="11" t="str"/>
      <x:c r="L510" s="11" t="str">
        <x:v>Not run</x:v>
      </x:c>
      <x:c r="M510" s="11" t="str"/>
      <x:c r="N510" s="11" t="str"/>
      <x:c r="O510" s="11" t="str"/>
      <x:c r="P510" s="11" t="str"/>
      <x:c r="Q510" s="11" t="str"/>
      <x:c r="R510" s="11" t="str"/>
      <x:c r="S510" s="10" t="str">
        <x:v>Role/request matrix + response + unchanged database</x:v>
      </x:c>
      <x:c r="T510" s="10" t="str">
        <x:v>src/app/api/staff/verification/route.ts</x:v>
      </x:c>
      <x:c r="U510" s="10" t="str">
        <x:v>Reconcile tagged fixtures; archive/withdraw only owned test publications. Preserve audit/financial history.</x:v>
      </x:c>
      <x:c r="V510" s="12" t="str">
        <x:f>IF(A510="","",IF(L510="Not run","Pending",IF(OR(L510="Blocked",L510="Not deployed",L510="Not applicable"),IF(OR(K510="",R510=""),"Needs explanation","Recorded"),IF(OR(L510="Pass",L510="Fail"),IF(OR(K510="",M510="",P510=""),"Needs result/evidence/build","Recorded"),"Needs valid status"))))</x:f>
        <x:v>Pending</x:v>
      </x:c>
    </x:row>
    <x:row r="511" ht="66" customHeight="1">
      <x:c r="A511" s="10" t="str">
        <x:v>QA-0507</x:v>
      </x:c>
      <x:c r="B511" s="10" t="str">
        <x:v>T. API contract</x:v>
      </x:c>
      <x:c r="C511" s="10" t="str">
        <x:v>POST /api/staff/website-resource-files</x:v>
      </x:c>
      <x:c r="D511" s="10" t="str">
        <x:v>/api/staff/website-resource-files</x:v>
      </x:c>
      <x:c r="E511" s="10" t="str">
        <x:v>Technical tester</x:v>
      </x:c>
      <x:c r="F511" s="10" t="str">
        <x:v>P0</x:v>
      </x:c>
      <x:c r="G511" s="10" t="str">
        <x:v>Isolated only</x:v>
      </x:c>
      <x:c r="H511" s="10" t="str">
        <x:v>Isolated app/database; providers disabled or QA allowlist; exact request schema and fixture ID from current source/UI.</x:v>
      </x:c>
      <x:c r="I511" s="10" t="str">
        <x:v>Inspect route and delegated service contract for query/body/allowed actions. Capture a valid request from QA UI, replace dynamic IDs with owned fixture IDs, replay POST /api/staff/website-resource-files once in isolated environment. Check status/body/headers and exact database/job effects.</x:v>
      </x:c>
      <x:c r="J511" s="10" t="str">
        <x:v>Valid supported request returns documented result; expected mutations only. Public/token endpoints follow their own policy; no assumption of a universal 200/401 response.</x:v>
      </x:c>
      <x:c r="K511" s="11" t="str"/>
      <x:c r="L511" s="11" t="str">
        <x:v>Not run</x:v>
      </x:c>
      <x:c r="M511" s="11" t="str"/>
      <x:c r="N511" s="11" t="str"/>
      <x:c r="O511" s="11" t="str"/>
      <x:c r="P511" s="11" t="str"/>
      <x:c r="Q511" s="11" t="str"/>
      <x:c r="R511" s="11" t="str"/>
      <x:c r="S511" s="10" t="str">
        <x:v>Sanitized HTTP request/response + before/after query</x:v>
      </x:c>
      <x:c r="T511" s="10" t="str">
        <x:v>src/app/api/staff/website-resource-files/route.ts</x:v>
      </x:c>
      <x:c r="U511" s="10" t="str">
        <x:v>Reconcile tagged fixtures; archive/withdraw only owned test publications. Preserve audit/financial history.</x:v>
      </x:c>
      <x:c r="V511" s="12" t="str">
        <x:f>IF(A511="","",IF(L511="Not run","Pending",IF(OR(L511="Blocked",L511="Not deployed",L511="Not applicable"),IF(OR(K511="",R511=""),"Needs explanation","Recorded"),IF(OR(L511="Pass",L511="Fail"),IF(OR(K511="",M511="",P511=""),"Needs result/evidence/build","Recorded"),"Needs valid status"))))</x:f>
        <x:v>Pending</x:v>
      </x:c>
    </x:row>
    <x:row r="512" ht="52" customHeight="1">
      <x:c r="A512" s="10" t="str">
        <x:v>QA-0508</x:v>
      </x:c>
      <x:c r="B512" s="10" t="str">
        <x:v>T. API contract</x:v>
      </x:c>
      <x:c r="C512" s="10" t="str">
        <x:v>POST boundary: /api/staff/website-resource-files</x:v>
      </x:c>
      <x:c r="D512" s="10" t="str">
        <x:v>/api/staff/website-resource-files</x:v>
      </x:c>
      <x:c r="E512" s="10" t="str">
        <x:v>Technical tester</x:v>
      </x:c>
      <x:c r="F512" s="10" t="str">
        <x:v>P0</x:v>
      </x:c>
      <x:c r="G512" s="10" t="str">
        <x:v>Isolated only</x:v>
      </x:c>
      <x:c r="H512" s="10" t="str">
        <x:v>Record deployed build. Use assigned test accounts, synthetic data and approved fixtures/recipients only.</x:v>
      </x:c>
      <x:c r="I512" s="10" t="str">
        <x:v>Using isolated fixtures, replay POST /api/staff/website-resource-files as anonymous, ordinary member, unrelated staff role and wrong owner as applicable. Test every current supported action separately; record authorization differences.</x:v>
      </x:c>
      <x:c r="J512" s="10" t="str">
        <x:v>Authorization matches action-specific grants/ownership/publication; authorized exceptions remain allowed and all unauthorized reads/writes denied without private leakage.</x:v>
      </x:c>
      <x:c r="K512" s="11" t="str"/>
      <x:c r="L512" s="11" t="str">
        <x:v>Not run</x:v>
      </x:c>
      <x:c r="M512" s="11" t="str"/>
      <x:c r="N512" s="11" t="str"/>
      <x:c r="O512" s="11" t="str"/>
      <x:c r="P512" s="11" t="str"/>
      <x:c r="Q512" s="11" t="str"/>
      <x:c r="R512" s="11" t="str"/>
      <x:c r="S512" s="10" t="str">
        <x:v>Role/request matrix + response + unchanged database</x:v>
      </x:c>
      <x:c r="T512" s="10" t="str">
        <x:v>src/app/api/staff/website-resource-files/route.ts</x:v>
      </x:c>
      <x:c r="U512" s="10" t="str">
        <x:v>Reconcile tagged fixtures; archive/withdraw only owned test publications. Preserve audit/financial history.</x:v>
      </x:c>
      <x:c r="V512" s="12" t="str">
        <x:f>IF(A512="","",IF(L512="Not run","Pending",IF(OR(L512="Blocked",L512="Not deployed",L512="Not applicable"),IF(OR(K512="",R512=""),"Needs explanation","Recorded"),IF(OR(L512="Pass",L512="Fail"),IF(OR(K512="",M512="",P512=""),"Needs result/evidence/build","Recorded"),"Needs valid status"))))</x:f>
        <x:v>Pending</x:v>
      </x:c>
    </x:row>
    <x:row r="513" ht="66" customHeight="1">
      <x:c r="A513" s="10" t="str">
        <x:v>QA-0509</x:v>
      </x:c>
      <x:c r="B513" s="10" t="str">
        <x:v>T. API contract</x:v>
      </x:c>
      <x:c r="C513" s="10" t="str">
        <x:v>GET /api/staff/website-resources</x:v>
      </x:c>
      <x:c r="D513" s="10" t="str">
        <x:v>/api/staff/website-resources</x:v>
      </x:c>
      <x:c r="E513" s="10" t="str">
        <x:v>Technical tester</x:v>
      </x:c>
      <x:c r="F513" s="10" t="str">
        <x:v>P1</x:v>
      </x:c>
      <x:c r="G513" s="10" t="str">
        <x:v>Isolated only</x:v>
      </x:c>
      <x:c r="H513" s="10" t="str">
        <x:v>Isolated app/database; providers disabled or QA allowlist; exact request schema and fixture ID from current source/UI.</x:v>
      </x:c>
      <x:c r="I513" s="10" t="str">
        <x:v>Inspect route and delegated service contract for query/body/allowed actions. Capture a valid request from QA UI, replace dynamic IDs with owned fixture IDs, replay GET /api/staff/website-resources once in isolated environment. Check status/body/headers and exact database/job effects.</x:v>
      </x:c>
      <x:c r="J513" s="10" t="str">
        <x:v>Valid supported request returns documented result; expected mutations only. Public/token endpoints follow their own policy; no assumption of a universal 200/401 response.</x:v>
      </x:c>
      <x:c r="K513" s="11" t="str"/>
      <x:c r="L513" s="11" t="str">
        <x:v>Not run</x:v>
      </x:c>
      <x:c r="M513" s="11" t="str"/>
      <x:c r="N513" s="11" t="str"/>
      <x:c r="O513" s="11" t="str"/>
      <x:c r="P513" s="11" t="str"/>
      <x:c r="Q513" s="11" t="str"/>
      <x:c r="R513" s="11" t="str"/>
      <x:c r="S513" s="10" t="str">
        <x:v>Sanitized HTTP request/response + before/after query</x:v>
      </x:c>
      <x:c r="T513" s="10" t="str">
        <x:v>src/app/api/staff/website-resources/route.ts</x:v>
      </x:c>
      <x:c r="U513" s="10" t="str">
        <x:v>Reconcile tagged fixtures; archive/withdraw only owned test publications. Preserve audit/financial history.</x:v>
      </x:c>
      <x:c r="V513" s="12" t="str">
        <x:f>IF(A513="","",IF(L513="Not run","Pending",IF(OR(L513="Blocked",L513="Not deployed",L513="Not applicable"),IF(OR(K513="",R513=""),"Needs explanation","Recorded"),IF(OR(L513="Pass",L513="Fail"),IF(OR(K513="",M513="",P513=""),"Needs result/evidence/build","Recorded"),"Needs valid status"))))</x:f>
        <x:v>Pending</x:v>
      </x:c>
    </x:row>
    <x:row r="514" ht="52" customHeight="1">
      <x:c r="A514" s="10" t="str">
        <x:v>QA-0510</x:v>
      </x:c>
      <x:c r="B514" s="10" t="str">
        <x:v>T. API contract</x:v>
      </x:c>
      <x:c r="C514" s="10" t="str">
        <x:v>GET boundary: /api/staff/website-resources</x:v>
      </x:c>
      <x:c r="D514" s="10" t="str">
        <x:v>/api/staff/website-resources</x:v>
      </x:c>
      <x:c r="E514" s="10" t="str">
        <x:v>Technical tester</x:v>
      </x:c>
      <x:c r="F514" s="10" t="str">
        <x:v>P0</x:v>
      </x:c>
      <x:c r="G514" s="10" t="str">
        <x:v>Isolated only</x:v>
      </x:c>
      <x:c r="H514" s="10" t="str">
        <x:v>Record deployed build. Use assigned test accounts, synthetic data and approved fixtures/recipients only.</x:v>
      </x:c>
      <x:c r="I514" s="10" t="str">
        <x:v>Using isolated fixtures, replay GET /api/staff/website-resources as anonymous, ordinary member, unrelated staff role and wrong owner as applicable. Test every current supported action separately; record authorization differences.</x:v>
      </x:c>
      <x:c r="J514" s="10" t="str">
        <x:v>Authorization matches action-specific grants/ownership/publication; authorized exceptions remain allowed and all unauthorized reads/writes denied without private leakage.</x:v>
      </x:c>
      <x:c r="K514" s="11" t="str"/>
      <x:c r="L514" s="11" t="str">
        <x:v>Not run</x:v>
      </x:c>
      <x:c r="M514" s="11" t="str"/>
      <x:c r="N514" s="11" t="str"/>
      <x:c r="O514" s="11" t="str"/>
      <x:c r="P514" s="11" t="str"/>
      <x:c r="Q514" s="11" t="str"/>
      <x:c r="R514" s="11" t="str"/>
      <x:c r="S514" s="10" t="str">
        <x:v>Role/request matrix + response + unchanged database</x:v>
      </x:c>
      <x:c r="T514" s="10" t="str">
        <x:v>src/app/api/staff/website-resources/route.ts</x:v>
      </x:c>
      <x:c r="U514" s="10" t="str">
        <x:v>Reconcile tagged fixtures; archive/withdraw only owned test publications. Preserve audit/financial history.</x:v>
      </x:c>
      <x:c r="V514" s="12" t="str">
        <x:f>IF(A514="","",IF(L514="Not run","Pending",IF(OR(L514="Blocked",L514="Not deployed",L514="Not applicable"),IF(OR(K514="",R514=""),"Needs explanation","Recorded"),IF(OR(L514="Pass",L514="Fail"),IF(OR(K514="",M514="",P514=""),"Needs result/evidence/build","Recorded"),"Needs valid status"))))</x:f>
        <x:v>Pending</x:v>
      </x:c>
    </x:row>
    <x:row r="515" ht="66" customHeight="1">
      <x:c r="A515" s="10" t="str">
        <x:v>QA-0511</x:v>
      </x:c>
      <x:c r="B515" s="10" t="str">
        <x:v>T. API contract</x:v>
      </x:c>
      <x:c r="C515" s="10" t="str">
        <x:v>POST /api/staff/website-resources</x:v>
      </x:c>
      <x:c r="D515" s="10" t="str">
        <x:v>/api/staff/website-resources</x:v>
      </x:c>
      <x:c r="E515" s="10" t="str">
        <x:v>Technical tester</x:v>
      </x:c>
      <x:c r="F515" s="10" t="str">
        <x:v>P0</x:v>
      </x:c>
      <x:c r="G515" s="10" t="str">
        <x:v>Isolated only</x:v>
      </x:c>
      <x:c r="H515" s="10" t="str">
        <x:v>Isolated app/database; providers disabled or QA allowlist; exact request schema and fixture ID from current source/UI.</x:v>
      </x:c>
      <x:c r="I515" s="10" t="str">
        <x:v>Inspect route and delegated service contract for query/body/allowed actions. Capture a valid request from QA UI, replace dynamic IDs with owned fixture IDs, replay POST /api/staff/website-resources once in isolated environment. Check status/body/headers and exact database/job effects.</x:v>
      </x:c>
      <x:c r="J515" s="10" t="str">
        <x:v>Valid supported request returns documented result; expected mutations only. Public/token endpoints follow their own policy; no assumption of a universal 200/401 response.</x:v>
      </x:c>
      <x:c r="K515" s="11" t="str"/>
      <x:c r="L515" s="11" t="str">
        <x:v>Not run</x:v>
      </x:c>
      <x:c r="M515" s="11" t="str"/>
      <x:c r="N515" s="11" t="str"/>
      <x:c r="O515" s="11" t="str"/>
      <x:c r="P515" s="11" t="str"/>
      <x:c r="Q515" s="11" t="str"/>
      <x:c r="R515" s="11" t="str"/>
      <x:c r="S515" s="10" t="str">
        <x:v>Sanitized HTTP request/response + before/after query</x:v>
      </x:c>
      <x:c r="T515" s="10" t="str">
        <x:v>src/app/api/staff/website-resources/route.ts</x:v>
      </x:c>
      <x:c r="U515" s="10" t="str">
        <x:v>Reconcile tagged fixtures; archive/withdraw only owned test publications. Preserve audit/financial history.</x:v>
      </x:c>
      <x:c r="V515" s="12" t="str">
        <x:f>IF(A515="","",IF(L515="Not run","Pending",IF(OR(L515="Blocked",L515="Not deployed",L515="Not applicable"),IF(OR(K515="",R515=""),"Needs explanation","Recorded"),IF(OR(L515="Pass",L515="Fail"),IF(OR(K515="",M515="",P515=""),"Needs result/evidence/build","Recorded"),"Needs valid status"))))</x:f>
        <x:v>Pending</x:v>
      </x:c>
    </x:row>
    <x:row r="516" ht="52" customHeight="1">
      <x:c r="A516" s="10" t="str">
        <x:v>QA-0512</x:v>
      </x:c>
      <x:c r="B516" s="10" t="str">
        <x:v>T. API contract</x:v>
      </x:c>
      <x:c r="C516" s="10" t="str">
        <x:v>POST boundary: /api/staff/website-resources</x:v>
      </x:c>
      <x:c r="D516" s="10" t="str">
        <x:v>/api/staff/website-resources</x:v>
      </x:c>
      <x:c r="E516" s="10" t="str">
        <x:v>Technical tester</x:v>
      </x:c>
      <x:c r="F516" s="10" t="str">
        <x:v>P0</x:v>
      </x:c>
      <x:c r="G516" s="10" t="str">
        <x:v>Isolated only</x:v>
      </x:c>
      <x:c r="H516" s="10" t="str">
        <x:v>Record deployed build. Use assigned test accounts, synthetic data and approved fixtures/recipients only.</x:v>
      </x:c>
      <x:c r="I516" s="10" t="str">
        <x:v>Using isolated fixtures, replay POST /api/staff/website-resources as anonymous, ordinary member, unrelated staff role and wrong owner as applicable. Test every current supported action separately; record authorization differences.</x:v>
      </x:c>
      <x:c r="J516" s="10" t="str">
        <x:v>Authorization matches action-specific grants/ownership/publication; authorized exceptions remain allowed and all unauthorized reads/writes denied without private leakage.</x:v>
      </x:c>
      <x:c r="K516" s="11" t="str"/>
      <x:c r="L516" s="11" t="str">
        <x:v>Not run</x:v>
      </x:c>
      <x:c r="M516" s="11" t="str"/>
      <x:c r="N516" s="11" t="str"/>
      <x:c r="O516" s="11" t="str"/>
      <x:c r="P516" s="11" t="str"/>
      <x:c r="Q516" s="11" t="str"/>
      <x:c r="R516" s="11" t="str"/>
      <x:c r="S516" s="10" t="str">
        <x:v>Role/request matrix + response + unchanged database</x:v>
      </x:c>
      <x:c r="T516" s="10" t="str">
        <x:v>src/app/api/staff/website-resources/route.ts</x:v>
      </x:c>
      <x:c r="U516" s="10" t="str">
        <x:v>Reconcile tagged fixtures; archive/withdraw only owned test publications. Preserve audit/financial history.</x:v>
      </x:c>
      <x:c r="V516" s="12" t="str">
        <x:f>IF(A516="","",IF(L516="Not run","Pending",IF(OR(L516="Blocked",L516="Not deployed",L516="Not applicable"),IF(OR(K516="",R516=""),"Needs explanation","Recorded"),IF(OR(L516="Pass",L516="Fail"),IF(OR(K516="",M516="",P516=""),"Needs result/evidence/build","Recorded"),"Needs valid status"))))</x:f>
        <x:v>Pending</x:v>
      </x:c>
    </x:row>
    <x:row r="517" ht="66" customHeight="1">
      <x:c r="A517" s="10" t="str">
        <x:v>QA-0513</x:v>
      </x:c>
      <x:c r="B517" s="10" t="str">
        <x:v>T. API contract</x:v>
      </x:c>
      <x:c r="C517" s="10" t="str">
        <x:v>GET /api/staff/website-settings</x:v>
      </x:c>
      <x:c r="D517" s="10" t="str">
        <x:v>/api/staff/website-settings</x:v>
      </x:c>
      <x:c r="E517" s="10" t="str">
        <x:v>Technical tester</x:v>
      </x:c>
      <x:c r="F517" s="10" t="str">
        <x:v>P1</x:v>
      </x:c>
      <x:c r="G517" s="10" t="str">
        <x:v>Isolated only</x:v>
      </x:c>
      <x:c r="H517" s="10" t="str">
        <x:v>Isolated app/database; providers disabled or QA allowlist; exact request schema and fixture ID from current source/UI.</x:v>
      </x:c>
      <x:c r="I517" s="10" t="str">
        <x:v>Inspect route and delegated service contract for query/body/allowed actions. Capture a valid request from QA UI, replace dynamic IDs with owned fixture IDs, replay GET /api/staff/website-settings once in isolated environment. Check status/body/headers and exact database/job effects.</x:v>
      </x:c>
      <x:c r="J517" s="10" t="str">
        <x:v>Valid supported request returns documented result; expected mutations only. Public/token endpoints follow their own policy; no assumption of a universal 200/401 response.</x:v>
      </x:c>
      <x:c r="K517" s="11" t="str"/>
      <x:c r="L517" s="11" t="str">
        <x:v>Not run</x:v>
      </x:c>
      <x:c r="M517" s="11" t="str"/>
      <x:c r="N517" s="11" t="str"/>
      <x:c r="O517" s="11" t="str"/>
      <x:c r="P517" s="11" t="str"/>
      <x:c r="Q517" s="11" t="str"/>
      <x:c r="R517" s="11" t="str"/>
      <x:c r="S517" s="10" t="str">
        <x:v>Sanitized HTTP request/response + before/after query</x:v>
      </x:c>
      <x:c r="T517" s="10" t="str">
        <x:v>src/app/api/staff/website-settings/route.ts</x:v>
      </x:c>
      <x:c r="U517" s="10" t="str">
        <x:v>Reconcile tagged fixtures; archive/withdraw only owned test publications. Preserve audit/financial history.</x:v>
      </x:c>
      <x:c r="V517" s="12" t="str">
        <x:f>IF(A517="","",IF(L517="Not run","Pending",IF(OR(L517="Blocked",L517="Not deployed",L517="Not applicable"),IF(OR(K517="",R517=""),"Needs explanation","Recorded"),IF(OR(L517="Pass",L517="Fail"),IF(OR(K517="",M517="",P517=""),"Needs result/evidence/build","Recorded"),"Needs valid status"))))</x:f>
        <x:v>Pending</x:v>
      </x:c>
    </x:row>
    <x:row r="518" ht="52" customHeight="1">
      <x:c r="A518" s="10" t="str">
        <x:v>QA-0514</x:v>
      </x:c>
      <x:c r="B518" s="10" t="str">
        <x:v>T. API contract</x:v>
      </x:c>
      <x:c r="C518" s="10" t="str">
        <x:v>GET boundary: /api/staff/website-settings</x:v>
      </x:c>
      <x:c r="D518" s="10" t="str">
        <x:v>/api/staff/website-settings</x:v>
      </x:c>
      <x:c r="E518" s="10" t="str">
        <x:v>Technical tester</x:v>
      </x:c>
      <x:c r="F518" s="10" t="str">
        <x:v>P0</x:v>
      </x:c>
      <x:c r="G518" s="10" t="str">
        <x:v>Isolated only</x:v>
      </x:c>
      <x:c r="H518" s="10" t="str">
        <x:v>Record deployed build. Use assigned test accounts, synthetic data and approved fixtures/recipients only.</x:v>
      </x:c>
      <x:c r="I518" s="10" t="str">
        <x:v>Using isolated fixtures, replay GET /api/staff/website-settings as anonymous, ordinary member, unrelated staff role and wrong owner as applicable. Test every current supported action separately; record authorization differences.</x:v>
      </x:c>
      <x:c r="J518" s="10" t="str">
        <x:v>Authorization matches action-specific grants/ownership/publication; authorized exceptions remain allowed and all unauthorized reads/writes denied without private leakage.</x:v>
      </x:c>
      <x:c r="K518" s="11" t="str"/>
      <x:c r="L518" s="11" t="str">
        <x:v>Not run</x:v>
      </x:c>
      <x:c r="M518" s="11" t="str"/>
      <x:c r="N518" s="11" t="str"/>
      <x:c r="O518" s="11" t="str"/>
      <x:c r="P518" s="11" t="str"/>
      <x:c r="Q518" s="11" t="str"/>
      <x:c r="R518" s="11" t="str"/>
      <x:c r="S518" s="10" t="str">
        <x:v>Role/request matrix + response + unchanged database</x:v>
      </x:c>
      <x:c r="T518" s="10" t="str">
        <x:v>src/app/api/staff/website-settings/route.ts</x:v>
      </x:c>
      <x:c r="U518" s="10" t="str">
        <x:v>Reconcile tagged fixtures; archive/withdraw only owned test publications. Preserve audit/financial history.</x:v>
      </x:c>
      <x:c r="V518" s="12" t="str">
        <x:f>IF(A518="","",IF(L518="Not run","Pending",IF(OR(L518="Blocked",L518="Not deployed",L518="Not applicable"),IF(OR(K518="",R518=""),"Needs explanation","Recorded"),IF(OR(L518="Pass",L518="Fail"),IF(OR(K518="",M518="",P518=""),"Needs result/evidence/build","Recorded"),"Needs valid status"))))</x:f>
        <x:v>Pending</x:v>
      </x:c>
    </x:row>
    <x:row r="519" ht="66" customHeight="1">
      <x:c r="A519" s="10" t="str">
        <x:v>QA-0515</x:v>
      </x:c>
      <x:c r="B519" s="10" t="str">
        <x:v>T. API contract</x:v>
      </x:c>
      <x:c r="C519" s="10" t="str">
        <x:v>POST /api/staff/website-settings</x:v>
      </x:c>
      <x:c r="D519" s="10" t="str">
        <x:v>/api/staff/website-settings</x:v>
      </x:c>
      <x:c r="E519" s="10" t="str">
        <x:v>Technical tester</x:v>
      </x:c>
      <x:c r="F519" s="10" t="str">
        <x:v>P0</x:v>
      </x:c>
      <x:c r="G519" s="10" t="str">
        <x:v>Isolated only</x:v>
      </x:c>
      <x:c r="H519" s="10" t="str">
        <x:v>Isolated app/database; providers disabled or QA allowlist; exact request schema and fixture ID from current source/UI.</x:v>
      </x:c>
      <x:c r="I519" s="10" t="str">
        <x:v>Inspect route and delegated service contract for query/body/allowed actions. Capture a valid request from QA UI, replace dynamic IDs with owned fixture IDs, replay POST /api/staff/website-settings once in isolated environment. Check status/body/headers and exact database/job effects.</x:v>
      </x:c>
      <x:c r="J519" s="10" t="str">
        <x:v>Valid supported request returns documented result; expected mutations only. Public/token endpoints follow their own policy; no assumption of a universal 200/401 response.</x:v>
      </x:c>
      <x:c r="K519" s="11" t="str"/>
      <x:c r="L519" s="11" t="str">
        <x:v>Not run</x:v>
      </x:c>
      <x:c r="M519" s="11" t="str"/>
      <x:c r="N519" s="11" t="str"/>
      <x:c r="O519" s="11" t="str"/>
      <x:c r="P519" s="11" t="str"/>
      <x:c r="Q519" s="11" t="str"/>
      <x:c r="R519" s="11" t="str"/>
      <x:c r="S519" s="10" t="str">
        <x:v>Sanitized HTTP request/response + before/after query</x:v>
      </x:c>
      <x:c r="T519" s="10" t="str">
        <x:v>src/app/api/staff/website-settings/route.ts</x:v>
      </x:c>
      <x:c r="U519" s="10" t="str">
        <x:v>Reconcile tagged fixtures; archive/withdraw only owned test publications. Preserve audit/financial history.</x:v>
      </x:c>
      <x:c r="V519" s="12" t="str">
        <x:f>IF(A519="","",IF(L519="Not run","Pending",IF(OR(L519="Blocked",L519="Not deployed",L519="Not applicable"),IF(OR(K519="",R519=""),"Needs explanation","Recorded"),IF(OR(L519="Pass",L519="Fail"),IF(OR(K519="",M519="",P519=""),"Needs result/evidence/build","Recorded"),"Needs valid status"))))</x:f>
        <x:v>Pending</x:v>
      </x:c>
    </x:row>
    <x:row r="520" ht="52" customHeight="1">
      <x:c r="A520" s="10" t="str">
        <x:v>QA-0516</x:v>
      </x:c>
      <x:c r="B520" s="10" t="str">
        <x:v>T. API contract</x:v>
      </x:c>
      <x:c r="C520" s="10" t="str">
        <x:v>POST boundary: /api/staff/website-settings</x:v>
      </x:c>
      <x:c r="D520" s="10" t="str">
        <x:v>/api/staff/website-settings</x:v>
      </x:c>
      <x:c r="E520" s="10" t="str">
        <x:v>Technical tester</x:v>
      </x:c>
      <x:c r="F520" s="10" t="str">
        <x:v>P0</x:v>
      </x:c>
      <x:c r="G520" s="10" t="str">
        <x:v>Isolated only</x:v>
      </x:c>
      <x:c r="H520" s="10" t="str">
        <x:v>Record deployed build. Use assigned test accounts, synthetic data and approved fixtures/recipients only.</x:v>
      </x:c>
      <x:c r="I520" s="10" t="str">
        <x:v>Using isolated fixtures, replay POST /api/staff/website-settings as anonymous, ordinary member, unrelated staff role and wrong owner as applicable. Test every current supported action separately; record authorization differences.</x:v>
      </x:c>
      <x:c r="J520" s="10" t="str">
        <x:v>Authorization matches action-specific grants/ownership/publication; authorized exceptions remain allowed and all unauthorized reads/writes denied without private leakage.</x:v>
      </x:c>
      <x:c r="K520" s="11" t="str"/>
      <x:c r="L520" s="11" t="str">
        <x:v>Not run</x:v>
      </x:c>
      <x:c r="M520" s="11" t="str"/>
      <x:c r="N520" s="11" t="str"/>
      <x:c r="O520" s="11" t="str"/>
      <x:c r="P520" s="11" t="str"/>
      <x:c r="Q520" s="11" t="str"/>
      <x:c r="R520" s="11" t="str"/>
      <x:c r="S520" s="10" t="str">
        <x:v>Role/request matrix + response + unchanged database</x:v>
      </x:c>
      <x:c r="T520" s="10" t="str">
        <x:v>src/app/api/staff/website-settings/route.ts</x:v>
      </x:c>
      <x:c r="U520" s="10" t="str">
        <x:v>Reconcile tagged fixtures; archive/withdraw only owned test publications. Preserve audit/financial history.</x:v>
      </x:c>
      <x:c r="V520" s="12" t="str">
        <x:f>IF(A520="","",IF(L520="Not run","Pending",IF(OR(L520="Blocked",L520="Not deployed",L520="Not applicable"),IF(OR(K520="",R520=""),"Needs explanation","Recorded"),IF(OR(L520="Pass",L520="Fail"),IF(OR(K520="",M520="",P520=""),"Needs result/evidence/build","Recorded"),"Needs valid status"))))</x:f>
        <x:v>Pending</x:v>
      </x:c>
    </x:row>
    <x:row r="521" ht="66" customHeight="1">
      <x:c r="A521" s="10" t="str">
        <x:v>QA-0517</x:v>
      </x:c>
      <x:c r="B521" s="10" t="str">
        <x:v>T. API contract</x:v>
      </x:c>
      <x:c r="C521" s="10" t="str">
        <x:v>POST /api/webhooks/resend</x:v>
      </x:c>
      <x:c r="D521" s="10" t="str">
        <x:v>/api/webhooks/resend</x:v>
      </x:c>
      <x:c r="E521" s="10" t="str">
        <x:v>Technical tester</x:v>
      </x:c>
      <x:c r="F521" s="10" t="str">
        <x:v>P0</x:v>
      </x:c>
      <x:c r="G521" s="10" t="str">
        <x:v>Isolated only</x:v>
      </x:c>
      <x:c r="H521" s="10" t="str">
        <x:v>Isolated app/database; providers disabled or QA allowlist; exact request schema and fixture ID from current source/UI.</x:v>
      </x:c>
      <x:c r="I521" s="10" t="str">
        <x:v>Inspect route and delegated service contract for query/body/allowed actions. Capture a valid request from QA UI, replace dynamic IDs with owned fixture IDs, replay POST /api/webhooks/resend once in isolated environment. Check status/body/headers and exact database/job effects.</x:v>
      </x:c>
      <x:c r="J521" s="10" t="str">
        <x:v>Valid supported request returns documented result; expected mutations only. Public/token endpoints follow their own policy; no assumption of a universal 200/401 response.</x:v>
      </x:c>
      <x:c r="K521" s="11" t="str"/>
      <x:c r="L521" s="11" t="str">
        <x:v>Not run</x:v>
      </x:c>
      <x:c r="M521" s="11" t="str"/>
      <x:c r="N521" s="11" t="str"/>
      <x:c r="O521" s="11" t="str"/>
      <x:c r="P521" s="11" t="str"/>
      <x:c r="Q521" s="11" t="str"/>
      <x:c r="R521" s="11" t="str"/>
      <x:c r="S521" s="10" t="str">
        <x:v>Sanitized HTTP request/response + before/after query</x:v>
      </x:c>
      <x:c r="T521" s="10" t="str">
        <x:v>src/app/api/webhooks/resend/route.ts</x:v>
      </x:c>
      <x:c r="U521" s="10" t="str">
        <x:v>Reconcile tagged fixtures; archive/withdraw only owned test publications. Preserve audit/financial history.</x:v>
      </x:c>
      <x:c r="V521" s="12" t="str">
        <x:f>IF(A521="","",IF(L521="Not run","Pending",IF(OR(L521="Blocked",L521="Not deployed",L521="Not applicable"),IF(OR(K521="",R521=""),"Needs explanation","Recorded"),IF(OR(L521="Pass",L521="Fail"),IF(OR(K521="",M521="",P521=""),"Needs result/evidence/build","Recorded"),"Needs valid status"))))</x:f>
        <x:v>Pending</x:v>
      </x:c>
    </x:row>
    <x:row r="522" ht="66" customHeight="1">
      <x:c r="A522" s="10" t="str">
        <x:v>QA-0518</x:v>
      </x:c>
      <x:c r="B522" s="10" t="str">
        <x:v>T. API contract</x:v>
      </x:c>
      <x:c r="C522" s="10" t="str">
        <x:v>GET /downloads/[id]</x:v>
      </x:c>
      <x:c r="D522" s="10" t="str">
        <x:v>/downloads/[id]</x:v>
      </x:c>
      <x:c r="E522" s="10" t="str">
        <x:v>Technical tester</x:v>
      </x:c>
      <x:c r="F522" s="10" t="str">
        <x:v>P1</x:v>
      </x:c>
      <x:c r="G522" s="10" t="str">
        <x:v>Isolated only</x:v>
      </x:c>
      <x:c r="H522" s="10" t="str">
        <x:v>Isolated app/database; providers disabled or QA allowlist; exact request schema and fixture ID from current source/UI.</x:v>
      </x:c>
      <x:c r="I522" s="10" t="str">
        <x:v>Inspect route and delegated service contract for query/body/allowed actions. Capture a valid request from QA UI, replace dynamic IDs with owned fixture IDs, replay GET /downloads/[id] once in isolated environment. Check status/body/headers and exact database/job effects.</x:v>
      </x:c>
      <x:c r="J522" s="10" t="str">
        <x:v>Valid supported request returns documented result; expected mutations only. Public/token endpoints follow their own policy; no assumption of a universal 200/401 response.</x:v>
      </x:c>
      <x:c r="K522" s="11" t="str"/>
      <x:c r="L522" s="11" t="str">
        <x:v>Not run</x:v>
      </x:c>
      <x:c r="M522" s="11" t="str"/>
      <x:c r="N522" s="11" t="str"/>
      <x:c r="O522" s="11" t="str"/>
      <x:c r="P522" s="11" t="str"/>
      <x:c r="Q522" s="11" t="str"/>
      <x:c r="R522" s="11" t="str"/>
      <x:c r="S522" s="10" t="str">
        <x:v>Sanitized HTTP request/response + before/after query</x:v>
      </x:c>
      <x:c r="T522" s="10" t="str">
        <x:v>src/app/downloads/[id]/route.ts</x:v>
      </x:c>
      <x:c r="U522" s="10" t="str">
        <x:v>Reconcile tagged fixtures; archive/withdraw only owned test publications. Preserve audit/financial history.</x:v>
      </x:c>
      <x:c r="V522" s="12" t="str">
        <x:f>IF(A522="","",IF(L522="Not run","Pending",IF(OR(L522="Blocked",L522="Not deployed",L522="Not applicable"),IF(OR(K522="",R522=""),"Needs explanation","Recorded"),IF(OR(L522="Pass",L522="Fail"),IF(OR(K522="",M522="",P522=""),"Needs result/evidence/build","Recorded"),"Needs valid status"))))</x:f>
        <x:v>Pending</x:v>
      </x:c>
    </x:row>
    <x:row r="523" ht="66" customHeight="1">
      <x:c r="A523" s="10" t="str">
        <x:v>QA-0519</x:v>
      </x:c>
      <x:c r="B523" s="10" t="str">
        <x:v>T. API contract</x:v>
      </x:c>
      <x:c r="C523" s="10" t="str">
        <x:v>GET /media/[id]</x:v>
      </x:c>
      <x:c r="D523" s="10" t="str">
        <x:v>/media/[id]</x:v>
      </x:c>
      <x:c r="E523" s="10" t="str">
        <x:v>Technical tester</x:v>
      </x:c>
      <x:c r="F523" s="10" t="str">
        <x:v>P1</x:v>
      </x:c>
      <x:c r="G523" s="10" t="str">
        <x:v>Isolated only</x:v>
      </x:c>
      <x:c r="H523" s="10" t="str">
        <x:v>Isolated app/database; providers disabled or QA allowlist; exact request schema and fixture ID from current source/UI.</x:v>
      </x:c>
      <x:c r="I523" s="10" t="str">
        <x:v>Inspect route and delegated service contract for query/body/allowed actions. Capture a valid request from QA UI, replace dynamic IDs with owned fixture IDs, replay GET /media/[id] once in isolated environment. Check status/body/headers and exact database/job effects.</x:v>
      </x:c>
      <x:c r="J523" s="10" t="str">
        <x:v>Valid supported request returns documented result; expected mutations only. Public/token endpoints follow their own policy; no assumption of a universal 200/401 response.</x:v>
      </x:c>
      <x:c r="K523" s="11" t="str"/>
      <x:c r="L523" s="11" t="str">
        <x:v>Not run</x:v>
      </x:c>
      <x:c r="M523" s="11" t="str"/>
      <x:c r="N523" s="11" t="str"/>
      <x:c r="O523" s="11" t="str"/>
      <x:c r="P523" s="11" t="str"/>
      <x:c r="Q523" s="11" t="str"/>
      <x:c r="R523" s="11" t="str"/>
      <x:c r="S523" s="10" t="str">
        <x:v>Sanitized HTTP request/response + before/after query</x:v>
      </x:c>
      <x:c r="T523" s="10" t="str">
        <x:v>src/app/media/[id]/route.ts</x:v>
      </x:c>
      <x:c r="U523" s="10" t="str">
        <x:v>Reconcile tagged fixtures; archive/withdraw only owned test publications. Preserve audit/financial history.</x:v>
      </x:c>
      <x:c r="V523" s="12" t="str">
        <x:f>IF(A523="","",IF(L523="Not run","Pending",IF(OR(L523="Blocked",L523="Not deployed",L523="Not applicable"),IF(OR(K523="",R523=""),"Needs explanation","Recorded"),IF(OR(L523="Pass",L523="Fail"),IF(OR(K523="",M523="",P523=""),"Needs result/evidence/build","Recorded"),"Needs valid status"))))</x:f>
        <x:v>Pending</x:v>
      </x:c>
    </x:row>
    <x:row r="524" ht="52" customHeight="1">
      <x:c r="A524" s="10" t="str">
        <x:v>QA-0520</x:v>
      </x:c>
      <x:c r="B524" s="10" t="str">
        <x:v>U. Portal UX</x:v>
      </x:c>
      <x:c r="C524" s="10" t="str">
        <x:v>Responsive appearance: /admin</x:v>
      </x:c>
      <x:c r="D524" s="10" t="str">
        <x:v>/admin</x:v>
      </x:c>
      <x:c r="E524" s="10" t="str">
        <x:v>Intended permitted role</x:v>
      </x:c>
      <x:c r="F524" s="10" t="str">
        <x:v>P2</x:v>
      </x:c>
      <x:c r="G524" s="10" t="str">
        <x:v>Live read-only + isolated failure states</x:v>
      </x:c>
      <x:c r="H524" s="10" t="str">
        <x:v>Record deployed build. Use assigned test accounts, synthetic data and approved fixtures/recipients only.</x:v>
      </x:c>
      <x:c r="I524" s="10" t="str">
        <x:v>Cover these sections individually: Overview / attention / global search / worker diagnostics. Inspect desktop 1440, tablet 768, phone 390 and narrow 320 widths, zoom 200%, long text and supported themes.</x:v>
      </x:c>
      <x:c r="J524" s="10" t="str">
        <x:v>Readable consistent logo/type/spacing/colour/tables; no page overflow, clipped controls or lost information.</x:v>
      </x:c>
      <x:c r="K524" s="11" t="str"/>
      <x:c r="L524" s="11" t="str">
        <x:v>Not run</x:v>
      </x:c>
      <x:c r="M524" s="11" t="str"/>
      <x:c r="N524" s="11" t="str"/>
      <x:c r="O524" s="11" t="str"/>
      <x:c r="P524" s="11" t="str"/>
      <x:c r="Q524" s="11" t="str"/>
      <x:c r="R524" s="11" t="str"/>
      <x:c r="S524" s="10" t="str">
        <x:v>Screenshots per viewport/state + keyboard notes</x:v>
      </x:c>
      <x:c r="T524" s="10" t="str">
        <x:v>Approved testing plan</x:v>
      </x:c>
      <x:c r="U524" s="10" t="str">
        <x:v>Reconcile tagged fixtures; archive/withdraw only owned test publications. Preserve audit/financial history.</x:v>
      </x:c>
      <x:c r="V524" s="12" t="str">
        <x:f>IF(A524="","",IF(L524="Not run","Pending",IF(OR(L524="Blocked",L524="Not deployed",L524="Not applicable"),IF(OR(K524="",R524=""),"Needs explanation","Recorded"),IF(OR(L524="Pass",L524="Fail"),IF(OR(K524="",M524="",P524=""),"Needs result/evidence/build","Recorded"),"Needs valid status"))))</x:f>
        <x:v>Pending</x:v>
      </x:c>
    </x:row>
    <x:row r="525" ht="52" customHeight="1">
      <x:c r="A525" s="10" t="str">
        <x:v>QA-0521</x:v>
      </x:c>
      <x:c r="B525" s="10" t="str">
        <x:v>U. Portal UX</x:v>
      </x:c>
      <x:c r="C525" s="10" t="str">
        <x:v>Keyboard and dialogs: /admin</x:v>
      </x:c>
      <x:c r="D525" s="10" t="str">
        <x:v>/admin</x:v>
      </x:c>
      <x:c r="E525" s="10" t="str">
        <x:v>Intended permitted role</x:v>
      </x:c>
      <x:c r="F525" s="10" t="str">
        <x:v>P2</x:v>
      </x:c>
      <x:c r="G525" s="10" t="str">
        <x:v>Live read-only + isolated failure states</x:v>
      </x:c>
      <x:c r="H525" s="10" t="str">
        <x:v>Record deployed build. Use assigned test accounts, synthetic data and approved fixtures/recipients only.</x:v>
      </x:c>
      <x:c r="I525" s="10" t="str">
        <x:v>Cover these sections individually: Overview / attention / global search / worker diagnostics. Traverse every tab/control/dialog with keyboard. Check focus, Escape, focus return, labels and table scrolling.</x:v>
      </x:c>
      <x:c r="J525" s="10" t="str">
        <x:v>Visible logical focus and meaningful accessible names; dialogs usable without mouse.</x:v>
      </x:c>
      <x:c r="K525" s="11" t="str"/>
      <x:c r="L525" s="11" t="str">
        <x:v>Not run</x:v>
      </x:c>
      <x:c r="M525" s="11" t="str"/>
      <x:c r="N525" s="11" t="str"/>
      <x:c r="O525" s="11" t="str"/>
      <x:c r="P525" s="11" t="str"/>
      <x:c r="Q525" s="11" t="str"/>
      <x:c r="R525" s="11" t="str"/>
      <x:c r="S525" s="10" t="str">
        <x:v>Screenshots per viewport/state + keyboard notes</x:v>
      </x:c>
      <x:c r="T525" s="10" t="str">
        <x:v>Approved testing plan</x:v>
      </x:c>
      <x:c r="U525" s="10" t="str">
        <x:v>Reconcile tagged fixtures; archive/withdraw only owned test publications. Preserve audit/financial history.</x:v>
      </x:c>
      <x:c r="V525" s="12" t="str">
        <x:f>IF(A525="","",IF(L525="Not run","Pending",IF(OR(L525="Blocked",L525="Not deployed",L525="Not applicable"),IF(OR(K525="",R525=""),"Needs explanation","Recorded"),IF(OR(L525="Pass",L525="Fail"),IF(OR(K525="",M525="",P525=""),"Needs result/evidence/build","Recorded"),"Needs valid status"))))</x:f>
        <x:v>Pending</x:v>
      </x:c>
    </x:row>
    <x:row r="526" ht="52" customHeight="1">
      <x:c r="A526" s="10" t="str">
        <x:v>QA-0522</x:v>
      </x:c>
      <x:c r="B526" s="10" t="str">
        <x:v>U. Portal UX</x:v>
      </x:c>
      <x:c r="C526" s="10" t="str">
        <x:v>State and feedback: /admin</x:v>
      </x:c>
      <x:c r="D526" s="10" t="str">
        <x:v>/admin</x:v>
      </x:c>
      <x:c r="E526" s="10" t="str">
        <x:v>Intended permitted role</x:v>
      </x:c>
      <x:c r="F526" s="10" t="str">
        <x:v>P2</x:v>
      </x:c>
      <x:c r="G526" s="10" t="str">
        <x:v>Isolated only</x:v>
      </x:c>
      <x:c r="H526" s="10" t="str">
        <x:v>Record deployed build. Use assigned test accounts, synthetic data and approved fixtures/recipients only.</x:v>
      </x:c>
      <x:c r="I526" s="10" t="str">
        <x:v>Cover these sections individually: Overview / attention / global search / worker diagnostics. Inspect available loading/empty/error/success/disabled/validation states. Use isolated fixtures for induced failure or empty data.</x:v>
      </x:c>
      <x:c r="J526" s="10" t="str">
        <x:v>States accurate, readable and actionable; input retained after failure and no false success.</x:v>
      </x:c>
      <x:c r="K526" s="11" t="str"/>
      <x:c r="L526" s="11" t="str">
        <x:v>Not run</x:v>
      </x:c>
      <x:c r="M526" s="11" t="str"/>
      <x:c r="N526" s="11" t="str"/>
      <x:c r="O526" s="11" t="str"/>
      <x:c r="P526" s="11" t="str"/>
      <x:c r="Q526" s="11" t="str"/>
      <x:c r="R526" s="11" t="str"/>
      <x:c r="S526" s="10" t="str">
        <x:v>Screenshots per viewport/state + keyboard notes</x:v>
      </x:c>
      <x:c r="T526" s="10" t="str">
        <x:v>Approved testing plan</x:v>
      </x:c>
      <x:c r="U526" s="10" t="str">
        <x:v>Reconcile tagged fixtures; archive/withdraw only owned test publications. Preserve audit/financial history.</x:v>
      </x:c>
      <x:c r="V526" s="12" t="str">
        <x:f>IF(A526="","",IF(L526="Not run","Pending",IF(OR(L526="Blocked",L526="Not deployed",L526="Not applicable"),IF(OR(K526="",R526=""),"Needs explanation","Recorded"),IF(OR(L526="Pass",L526="Fail"),IF(OR(K526="",M526="",P526=""),"Needs result/evidence/build","Recorded"),"Needs valid status"))))</x:f>
        <x:v>Pending</x:v>
      </x:c>
    </x:row>
    <x:row r="527" ht="52" customHeight="1">
      <x:c r="A527" s="10" t="str">
        <x:v>QA-0523</x:v>
      </x:c>
      <x:c r="B527" s="10" t="str">
        <x:v>U. Portal UX</x:v>
      </x:c>
      <x:c r="C527" s="10" t="str">
        <x:v>Responsive appearance: /admin/workspaces/members</x:v>
      </x:c>
      <x:c r="D527" s="10" t="str">
        <x:v>/admin/workspaces/members</x:v>
      </x:c>
      <x:c r="E527" s="10" t="str">
        <x:v>Intended permitted role</x:v>
      </x:c>
      <x:c r="F527" s="10" t="str">
        <x:v>P2</x:v>
      </x:c>
      <x:c r="G527" s="10" t="str">
        <x:v>Live read-only + isolated failure states</x:v>
      </x:c>
      <x:c r="H527" s="10" t="str">
        <x:v>Record deployed build. Use assigned test accounts, synthetic data and approved fixtures/recipients only.</x:v>
      </x:c>
      <x:c r="I527" s="10" t="str">
        <x:v>Cover these sections individually: Member register / account directory / search / record preview / filters / pagination. Inspect desktop 1440, tablet 768, phone 390 and narrow 320 widths, zoom 200%, long text and supported themes.</x:v>
      </x:c>
      <x:c r="J527" s="10" t="str">
        <x:v>Readable consistent logo/type/spacing/colour/tables; no page overflow, clipped controls or lost information.</x:v>
      </x:c>
      <x:c r="K527" s="11" t="str"/>
      <x:c r="L527" s="11" t="str">
        <x:v>Not run</x:v>
      </x:c>
      <x:c r="M527" s="11" t="str"/>
      <x:c r="N527" s="11" t="str"/>
      <x:c r="O527" s="11" t="str"/>
      <x:c r="P527" s="11" t="str"/>
      <x:c r="Q527" s="11" t="str"/>
      <x:c r="R527" s="11" t="str"/>
      <x:c r="S527" s="10" t="str">
        <x:v>Screenshots per viewport/state + keyboard notes</x:v>
      </x:c>
      <x:c r="T527" s="10" t="str">
        <x:v>Approved testing plan</x:v>
      </x:c>
      <x:c r="U527" s="10" t="str">
        <x:v>Reconcile tagged fixtures; archive/withdraw only owned test publications. Preserve audit/financial history.</x:v>
      </x:c>
      <x:c r="V527" s="12" t="str">
        <x:f>IF(A527="","",IF(L527="Not run","Pending",IF(OR(L527="Blocked",L527="Not deployed",L527="Not applicable"),IF(OR(K527="",R527=""),"Needs explanation","Recorded"),IF(OR(L527="Pass",L527="Fail"),IF(OR(K527="",M527="",P527=""),"Needs result/evidence/build","Recorded"),"Needs valid status"))))</x:f>
        <x:v>Pending</x:v>
      </x:c>
    </x:row>
    <x:row r="528" ht="52" customHeight="1">
      <x:c r="A528" s="10" t="str">
        <x:v>QA-0524</x:v>
      </x:c>
      <x:c r="B528" s="10" t="str">
        <x:v>U. Portal UX</x:v>
      </x:c>
      <x:c r="C528" s="10" t="str">
        <x:v>Keyboard and dialogs: /admin/workspaces/members</x:v>
      </x:c>
      <x:c r="D528" s="10" t="str">
        <x:v>/admin/workspaces/members</x:v>
      </x:c>
      <x:c r="E528" s="10" t="str">
        <x:v>Intended permitted role</x:v>
      </x:c>
      <x:c r="F528" s="10" t="str">
        <x:v>P2</x:v>
      </x:c>
      <x:c r="G528" s="10" t="str">
        <x:v>Live read-only + isolated failure states</x:v>
      </x:c>
      <x:c r="H528" s="10" t="str">
        <x:v>Record deployed build. Use assigned test accounts, synthetic data and approved fixtures/recipients only.</x:v>
      </x:c>
      <x:c r="I528" s="10" t="str">
        <x:v>Cover these sections individually: Member register / account directory / search / record preview / filters / pagination. Traverse every tab/control/dialog with keyboard. Check focus, Escape, focus return, labels and table scrolling.</x:v>
      </x:c>
      <x:c r="J528" s="10" t="str">
        <x:v>Visible logical focus and meaningful accessible names; dialogs usable without mouse.</x:v>
      </x:c>
      <x:c r="K528" s="11" t="str"/>
      <x:c r="L528" s="11" t="str">
        <x:v>Not run</x:v>
      </x:c>
      <x:c r="M528" s="11" t="str"/>
      <x:c r="N528" s="11" t="str"/>
      <x:c r="O528" s="11" t="str"/>
      <x:c r="P528" s="11" t="str"/>
      <x:c r="Q528" s="11" t="str"/>
      <x:c r="R528" s="11" t="str"/>
      <x:c r="S528" s="10" t="str">
        <x:v>Screenshots per viewport/state + keyboard notes</x:v>
      </x:c>
      <x:c r="T528" s="10" t="str">
        <x:v>Approved testing plan</x:v>
      </x:c>
      <x:c r="U528" s="10" t="str">
        <x:v>Reconcile tagged fixtures; archive/withdraw only owned test publications. Preserve audit/financial history.</x:v>
      </x:c>
      <x:c r="V528" s="12" t="str">
        <x:f>IF(A528="","",IF(L528="Not run","Pending",IF(OR(L528="Blocked",L528="Not deployed",L528="Not applicable"),IF(OR(K528="",R528=""),"Needs explanation","Recorded"),IF(OR(L528="Pass",L528="Fail"),IF(OR(K528="",M528="",P528=""),"Needs result/evidence/build","Recorded"),"Needs valid status"))))</x:f>
        <x:v>Pending</x:v>
      </x:c>
    </x:row>
    <x:row r="529" ht="52" customHeight="1">
      <x:c r="A529" s="10" t="str">
        <x:v>QA-0525</x:v>
      </x:c>
      <x:c r="B529" s="10" t="str">
        <x:v>U. Portal UX</x:v>
      </x:c>
      <x:c r="C529" s="10" t="str">
        <x:v>State and feedback: /admin/workspaces/members</x:v>
      </x:c>
      <x:c r="D529" s="10" t="str">
        <x:v>/admin/workspaces/members</x:v>
      </x:c>
      <x:c r="E529" s="10" t="str">
        <x:v>Intended permitted role</x:v>
      </x:c>
      <x:c r="F529" s="10" t="str">
        <x:v>P2</x:v>
      </x:c>
      <x:c r="G529" s="10" t="str">
        <x:v>Isolated only</x:v>
      </x:c>
      <x:c r="H529" s="10" t="str">
        <x:v>Record deployed build. Use assigned test accounts, synthetic data and approved fixtures/recipients only.</x:v>
      </x:c>
      <x:c r="I529" s="10" t="str">
        <x:v>Cover these sections individually: Member register / account directory / search / record preview / filters / pagination. Inspect available loading/empty/error/success/disabled/validation states. Use isolated fixtures for induced failure or empty data.</x:v>
      </x:c>
      <x:c r="J529" s="10" t="str">
        <x:v>States accurate, readable and actionable; input retained after failure and no false success.</x:v>
      </x:c>
      <x:c r="K529" s="11" t="str"/>
      <x:c r="L529" s="11" t="str">
        <x:v>Not run</x:v>
      </x:c>
      <x:c r="M529" s="11" t="str"/>
      <x:c r="N529" s="11" t="str"/>
      <x:c r="O529" s="11" t="str"/>
      <x:c r="P529" s="11" t="str"/>
      <x:c r="Q529" s="11" t="str"/>
      <x:c r="R529" s="11" t="str"/>
      <x:c r="S529" s="10" t="str">
        <x:v>Screenshots per viewport/state + keyboard notes</x:v>
      </x:c>
      <x:c r="T529" s="10" t="str">
        <x:v>Approved testing plan</x:v>
      </x:c>
      <x:c r="U529" s="10" t="str">
        <x:v>Reconcile tagged fixtures; archive/withdraw only owned test publications. Preserve audit/financial history.</x:v>
      </x:c>
      <x:c r="V529" s="12" t="str">
        <x:f>IF(A529="","",IF(L529="Not run","Pending",IF(OR(L529="Blocked",L529="Not deployed",L529="Not applicable"),IF(OR(K529="",R529=""),"Needs explanation","Recorded"),IF(OR(L529="Pass",L529="Fail"),IF(OR(K529="",M529="",P529=""),"Needs result/evidence/build","Recorded"),"Needs valid status"))))</x:f>
        <x:v>Pending</x:v>
      </x:c>
    </x:row>
    <x:row r="530" ht="52" customHeight="1">
      <x:c r="A530" s="10" t="str">
        <x:v>QA-0526</x:v>
      </x:c>
      <x:c r="B530" s="10" t="str">
        <x:v>U. Portal UX</x:v>
      </x:c>
      <x:c r="C530" s="10" t="str">
        <x:v>Responsive appearance: /admin/workspaces/verification</x:v>
      </x:c>
      <x:c r="D530" s="10" t="str">
        <x:v>/admin/workspaces/verification</x:v>
      </x:c>
      <x:c r="E530" s="10" t="str">
        <x:v>Intended permitted role</x:v>
      </x:c>
      <x:c r="F530" s="10" t="str">
        <x:v>P2</x:v>
      </x:c>
      <x:c r="G530" s="10" t="str">
        <x:v>Live read-only + isolated failure states</x:v>
      </x:c>
      <x:c r="H530" s="10" t="str">
        <x:v>Record deployed build. Use assigned test accounts, synthetic data and approved fixtures/recipients only.</x:v>
      </x:c>
      <x:c r="I530" s="10" t="str">
        <x:v>Cover these sections individually: Queue / application review / evidence / decision / requirements / history. Inspect desktop 1440, tablet 768, phone 390 and narrow 320 widths, zoom 200%, long text and supported themes.</x:v>
      </x:c>
      <x:c r="J530" s="10" t="str">
        <x:v>Readable consistent logo/type/spacing/colour/tables; no page overflow, clipped controls or lost information.</x:v>
      </x:c>
      <x:c r="K530" s="11" t="str"/>
      <x:c r="L530" s="11" t="str">
        <x:v>Not run</x:v>
      </x:c>
      <x:c r="M530" s="11" t="str"/>
      <x:c r="N530" s="11" t="str"/>
      <x:c r="O530" s="11" t="str"/>
      <x:c r="P530" s="11" t="str"/>
      <x:c r="Q530" s="11" t="str"/>
      <x:c r="R530" s="11" t="str"/>
      <x:c r="S530" s="10" t="str">
        <x:v>Screenshots per viewport/state + keyboard notes</x:v>
      </x:c>
      <x:c r="T530" s="10" t="str">
        <x:v>Approved testing plan</x:v>
      </x:c>
      <x:c r="U530" s="10" t="str">
        <x:v>Reconcile tagged fixtures; archive/withdraw only owned test publications. Preserve audit/financial history.</x:v>
      </x:c>
      <x:c r="V530" s="12" t="str">
        <x:f>IF(A530="","",IF(L530="Not run","Pending",IF(OR(L530="Blocked",L530="Not deployed",L530="Not applicable"),IF(OR(K530="",R530=""),"Needs explanation","Recorded"),IF(OR(L530="Pass",L530="Fail"),IF(OR(K530="",M530="",P530=""),"Needs result/evidence/build","Recorded"),"Needs valid status"))))</x:f>
        <x:v>Pending</x:v>
      </x:c>
    </x:row>
    <x:row r="531" ht="52" customHeight="1">
      <x:c r="A531" s="10" t="str">
        <x:v>QA-0527</x:v>
      </x:c>
      <x:c r="B531" s="10" t="str">
        <x:v>U. Portal UX</x:v>
      </x:c>
      <x:c r="C531" s="10" t="str">
        <x:v>Keyboard and dialogs: /admin/workspaces/verification</x:v>
      </x:c>
      <x:c r="D531" s="10" t="str">
        <x:v>/admin/workspaces/verification</x:v>
      </x:c>
      <x:c r="E531" s="10" t="str">
        <x:v>Intended permitted role</x:v>
      </x:c>
      <x:c r="F531" s="10" t="str">
        <x:v>P2</x:v>
      </x:c>
      <x:c r="G531" s="10" t="str">
        <x:v>Live read-only + isolated failure states</x:v>
      </x:c>
      <x:c r="H531" s="10" t="str">
        <x:v>Record deployed build. Use assigned test accounts, synthetic data and approved fixtures/recipients only.</x:v>
      </x:c>
      <x:c r="I531" s="10" t="str">
        <x:v>Cover these sections individually: Queue / application review / evidence / decision / requirements / history. Traverse every tab/control/dialog with keyboard. Check focus, Escape, focus return, labels and table scrolling.</x:v>
      </x:c>
      <x:c r="J531" s="10" t="str">
        <x:v>Visible logical focus and meaningful accessible names; dialogs usable without mouse.</x:v>
      </x:c>
      <x:c r="K531" s="11" t="str"/>
      <x:c r="L531" s="11" t="str">
        <x:v>Not run</x:v>
      </x:c>
      <x:c r="M531" s="11" t="str"/>
      <x:c r="N531" s="11" t="str"/>
      <x:c r="O531" s="11" t="str"/>
      <x:c r="P531" s="11" t="str"/>
      <x:c r="Q531" s="11" t="str"/>
      <x:c r="R531" s="11" t="str"/>
      <x:c r="S531" s="10" t="str">
        <x:v>Screenshots per viewport/state + keyboard notes</x:v>
      </x:c>
      <x:c r="T531" s="10" t="str">
        <x:v>Approved testing plan</x:v>
      </x:c>
      <x:c r="U531" s="10" t="str">
        <x:v>Reconcile tagged fixtures; archive/withdraw only owned test publications. Preserve audit/financial history.</x:v>
      </x:c>
      <x:c r="V531" s="12" t="str">
        <x:f>IF(A531="","",IF(L531="Not run","Pending",IF(OR(L531="Blocked",L531="Not deployed",L531="Not applicable"),IF(OR(K531="",R531=""),"Needs explanation","Recorded"),IF(OR(L531="Pass",L531="Fail"),IF(OR(K531="",M531="",P531=""),"Needs result/evidence/build","Recorded"),"Needs valid status"))))</x:f>
        <x:v>Pending</x:v>
      </x:c>
    </x:row>
    <x:row r="532" ht="52" customHeight="1">
      <x:c r="A532" s="10" t="str">
        <x:v>QA-0528</x:v>
      </x:c>
      <x:c r="B532" s="10" t="str">
        <x:v>U. Portal UX</x:v>
      </x:c>
      <x:c r="C532" s="10" t="str">
        <x:v>State and feedback: /admin/workspaces/verification</x:v>
      </x:c>
      <x:c r="D532" s="10" t="str">
        <x:v>/admin/workspaces/verification</x:v>
      </x:c>
      <x:c r="E532" s="10" t="str">
        <x:v>Intended permitted role</x:v>
      </x:c>
      <x:c r="F532" s="10" t="str">
        <x:v>P2</x:v>
      </x:c>
      <x:c r="G532" s="10" t="str">
        <x:v>Isolated only</x:v>
      </x:c>
      <x:c r="H532" s="10" t="str">
        <x:v>Record deployed build. Use assigned test accounts, synthetic data and approved fixtures/recipients only.</x:v>
      </x:c>
      <x:c r="I532" s="10" t="str">
        <x:v>Cover these sections individually: Queue / application review / evidence / decision / requirements / history. Inspect available loading/empty/error/success/disabled/validation states. Use isolated fixtures for induced failure or empty data.</x:v>
      </x:c>
      <x:c r="J532" s="10" t="str">
        <x:v>States accurate, readable and actionable; input retained after failure and no false success.</x:v>
      </x:c>
      <x:c r="K532" s="11" t="str"/>
      <x:c r="L532" s="11" t="str">
        <x:v>Not run</x:v>
      </x:c>
      <x:c r="M532" s="11" t="str"/>
      <x:c r="N532" s="11" t="str"/>
      <x:c r="O532" s="11" t="str"/>
      <x:c r="P532" s="11" t="str"/>
      <x:c r="Q532" s="11" t="str"/>
      <x:c r="R532" s="11" t="str"/>
      <x:c r="S532" s="10" t="str">
        <x:v>Screenshots per viewport/state + keyboard notes</x:v>
      </x:c>
      <x:c r="T532" s="10" t="str">
        <x:v>Approved testing plan</x:v>
      </x:c>
      <x:c r="U532" s="10" t="str">
        <x:v>Reconcile tagged fixtures; archive/withdraw only owned test publications. Preserve audit/financial history.</x:v>
      </x:c>
      <x:c r="V532" s="12" t="str">
        <x:f>IF(A532="","",IF(L532="Not run","Pending",IF(OR(L532="Blocked",L532="Not deployed",L532="Not applicable"),IF(OR(K532="",R532=""),"Needs explanation","Recorded"),IF(OR(L532="Pass",L532="Fail"),IF(OR(K532="",M532="",P532=""),"Needs result/evidence/build","Recorded"),"Needs valid status"))))</x:f>
        <x:v>Pending</x:v>
      </x:c>
    </x:row>
    <x:row r="533" ht="52" customHeight="1">
      <x:c r="A533" s="10" t="str">
        <x:v>QA-0529</x:v>
      </x:c>
      <x:c r="B533" s="10" t="str">
        <x:v>U. Portal UX</x:v>
      </x:c>
      <x:c r="C533" s="10" t="str">
        <x:v>Responsive appearance: /admin/workspaces/onboarding</x:v>
      </x:c>
      <x:c r="D533" s="10" t="str">
        <x:v>/admin/workspaces/onboarding</x:v>
      </x:c>
      <x:c r="E533" s="10" t="str">
        <x:v>Intended permitted role</x:v>
      </x:c>
      <x:c r="F533" s="10" t="str">
        <x:v>P2</x:v>
      </x:c>
      <x:c r="G533" s="10" t="str">
        <x:v>Live read-only + isolated failure states</x:v>
      </x:c>
      <x:c r="H533" s="10" t="str">
        <x:v>Record deployed build. Use assigned test accounts, synthetic data and approved fixtures/recipients only.</x:v>
      </x:c>
      <x:c r="I533" s="10" t="str">
        <x:v>Cover these sections individually: CSV-XLSX mapping / preview / import job / diagnostics / invitation holds. Inspect desktop 1440, tablet 768, phone 390 and narrow 320 widths, zoom 200%, long text and supported themes.</x:v>
      </x:c>
      <x:c r="J533" s="10" t="str">
        <x:v>Readable consistent logo/type/spacing/colour/tables; no page overflow, clipped controls or lost information.</x:v>
      </x:c>
      <x:c r="K533" s="11" t="str"/>
      <x:c r="L533" s="11" t="str">
        <x:v>Not run</x:v>
      </x:c>
      <x:c r="M533" s="11" t="str"/>
      <x:c r="N533" s="11" t="str"/>
      <x:c r="O533" s="11" t="str"/>
      <x:c r="P533" s="11" t="str"/>
      <x:c r="Q533" s="11" t="str"/>
      <x:c r="R533" s="11" t="str"/>
      <x:c r="S533" s="10" t="str">
        <x:v>Screenshots per viewport/state + keyboard notes</x:v>
      </x:c>
      <x:c r="T533" s="10" t="str">
        <x:v>Approved testing plan</x:v>
      </x:c>
      <x:c r="U533" s="10" t="str">
        <x:v>Reconcile tagged fixtures; archive/withdraw only owned test publications. Preserve audit/financial history.</x:v>
      </x:c>
      <x:c r="V533" s="12" t="str">
        <x:f>IF(A533="","",IF(L533="Not run","Pending",IF(OR(L533="Blocked",L533="Not deployed",L533="Not applicable"),IF(OR(K533="",R533=""),"Needs explanation","Recorded"),IF(OR(L533="Pass",L533="Fail"),IF(OR(K533="",M533="",P533=""),"Needs result/evidence/build","Recorded"),"Needs valid status"))))</x:f>
        <x:v>Pending</x:v>
      </x:c>
    </x:row>
    <x:row r="534" ht="52" customHeight="1">
      <x:c r="A534" s="10" t="str">
        <x:v>QA-0530</x:v>
      </x:c>
      <x:c r="B534" s="10" t="str">
        <x:v>U. Portal UX</x:v>
      </x:c>
      <x:c r="C534" s="10" t="str">
        <x:v>Keyboard and dialogs: /admin/workspaces/onboarding</x:v>
      </x:c>
      <x:c r="D534" s="10" t="str">
        <x:v>/admin/workspaces/onboarding</x:v>
      </x:c>
      <x:c r="E534" s="10" t="str">
        <x:v>Intended permitted role</x:v>
      </x:c>
      <x:c r="F534" s="10" t="str">
        <x:v>P2</x:v>
      </x:c>
      <x:c r="G534" s="10" t="str">
        <x:v>Live read-only + isolated failure states</x:v>
      </x:c>
      <x:c r="H534" s="10" t="str">
        <x:v>Record deployed build. Use assigned test accounts, synthetic data and approved fixtures/recipients only.</x:v>
      </x:c>
      <x:c r="I534" s="10" t="str">
        <x:v>Cover these sections individually: CSV-XLSX mapping / preview / import job / diagnostics / invitation holds. Traverse every tab/control/dialog with keyboard. Check focus, Escape, focus return, labels and table scrolling.</x:v>
      </x:c>
      <x:c r="J534" s="10" t="str">
        <x:v>Visible logical focus and meaningful accessible names; dialogs usable without mouse.</x:v>
      </x:c>
      <x:c r="K534" s="11" t="str"/>
      <x:c r="L534" s="11" t="str">
        <x:v>Not run</x:v>
      </x:c>
      <x:c r="M534" s="11" t="str"/>
      <x:c r="N534" s="11" t="str"/>
      <x:c r="O534" s="11" t="str"/>
      <x:c r="P534" s="11" t="str"/>
      <x:c r="Q534" s="11" t="str"/>
      <x:c r="R534" s="11" t="str"/>
      <x:c r="S534" s="10" t="str">
        <x:v>Screenshots per viewport/state + keyboard notes</x:v>
      </x:c>
      <x:c r="T534" s="10" t="str">
        <x:v>Approved testing plan</x:v>
      </x:c>
      <x:c r="U534" s="10" t="str">
        <x:v>Reconcile tagged fixtures; archive/withdraw only owned test publications. Preserve audit/financial history.</x:v>
      </x:c>
      <x:c r="V534" s="12" t="str">
        <x:f>IF(A534="","",IF(L534="Not run","Pending",IF(OR(L534="Blocked",L534="Not deployed",L534="Not applicable"),IF(OR(K534="",R534=""),"Needs explanation","Recorded"),IF(OR(L534="Pass",L534="Fail"),IF(OR(K534="",M534="",P534=""),"Needs result/evidence/build","Recorded"),"Needs valid status"))))</x:f>
        <x:v>Pending</x:v>
      </x:c>
    </x:row>
    <x:row r="535" ht="52" customHeight="1">
      <x:c r="A535" s="10" t="str">
        <x:v>QA-0531</x:v>
      </x:c>
      <x:c r="B535" s="10" t="str">
        <x:v>U. Portal UX</x:v>
      </x:c>
      <x:c r="C535" s="10" t="str">
        <x:v>State and feedback: /admin/workspaces/onboarding</x:v>
      </x:c>
      <x:c r="D535" s="10" t="str">
        <x:v>/admin/workspaces/onboarding</x:v>
      </x:c>
      <x:c r="E535" s="10" t="str">
        <x:v>Intended permitted role</x:v>
      </x:c>
      <x:c r="F535" s="10" t="str">
        <x:v>P2</x:v>
      </x:c>
      <x:c r="G535" s="10" t="str">
        <x:v>Isolated only</x:v>
      </x:c>
      <x:c r="H535" s="10" t="str">
        <x:v>Record deployed build. Use assigned test accounts, synthetic data and approved fixtures/recipients only.</x:v>
      </x:c>
      <x:c r="I535" s="10" t="str">
        <x:v>Cover these sections individually: CSV-XLSX mapping / preview / import job / diagnostics / invitation holds. Inspect available loading/empty/error/success/disabled/validation states. Use isolated fixtures for induced failure or empty data.</x:v>
      </x:c>
      <x:c r="J535" s="10" t="str">
        <x:v>States accurate, readable and actionable; input retained after failure and no false success.</x:v>
      </x:c>
      <x:c r="K535" s="11" t="str"/>
      <x:c r="L535" s="11" t="str">
        <x:v>Not run</x:v>
      </x:c>
      <x:c r="M535" s="11" t="str"/>
      <x:c r="N535" s="11" t="str"/>
      <x:c r="O535" s="11" t="str"/>
      <x:c r="P535" s="11" t="str"/>
      <x:c r="Q535" s="11" t="str"/>
      <x:c r="R535" s="11" t="str"/>
      <x:c r="S535" s="10" t="str">
        <x:v>Screenshots per viewport/state + keyboard notes</x:v>
      </x:c>
      <x:c r="T535" s="10" t="str">
        <x:v>Approved testing plan</x:v>
      </x:c>
      <x:c r="U535" s="10" t="str">
        <x:v>Reconcile tagged fixtures; archive/withdraw only owned test publications. Preserve audit/financial history.</x:v>
      </x:c>
      <x:c r="V535" s="12" t="str">
        <x:f>IF(A535="","",IF(L535="Not run","Pending",IF(OR(L535="Blocked",L535="Not deployed",L535="Not applicable"),IF(OR(K535="",R535=""),"Needs explanation","Recorded"),IF(OR(L535="Pass",L535="Fail"),IF(OR(K535="",M535="",P535=""),"Needs result/evidence/build","Recorded"),"Needs valid status"))))</x:f>
        <x:v>Pending</x:v>
      </x:c>
    </x:row>
    <x:row r="536" ht="52" customHeight="1">
      <x:c r="A536" s="10" t="str">
        <x:v>QA-0532</x:v>
      </x:c>
      <x:c r="B536" s="10" t="str">
        <x:v>U. Portal UX</x:v>
      </x:c>
      <x:c r="C536" s="10" t="str">
        <x:v>Responsive appearance: /admin/workspaces/crm</x:v>
      </x:c>
      <x:c r="D536" s="10" t="str">
        <x:v>/admin/workspaces/crm</x:v>
      </x:c>
      <x:c r="E536" s="10" t="str">
        <x:v>Intended permitted role</x:v>
      </x:c>
      <x:c r="F536" s="10" t="str">
        <x:v>P2</x:v>
      </x:c>
      <x:c r="G536" s="10" t="str">
        <x:v>Live read-only + isolated failure states</x:v>
      </x:c>
      <x:c r="H536" s="10" t="str">
        <x:v>Record deployed build. Use assigned test accounts, synthetic data and approved fixtures/recipients only.</x:v>
      </x:c>
      <x:c r="I536" s="10" t="str">
        <x:v>Cover these sections individually: Inbox list / inquiry details / notes / assignment / tags / follow-up / history. Inspect desktop 1440, tablet 768, phone 390 and narrow 320 widths, zoom 200%, long text and supported themes.</x:v>
      </x:c>
      <x:c r="J536" s="10" t="str">
        <x:v>Readable consistent logo/type/spacing/colour/tables; no page overflow, clipped controls or lost information.</x:v>
      </x:c>
      <x:c r="K536" s="11" t="str"/>
      <x:c r="L536" s="11" t="str">
        <x:v>Not run</x:v>
      </x:c>
      <x:c r="M536" s="11" t="str"/>
      <x:c r="N536" s="11" t="str"/>
      <x:c r="O536" s="11" t="str"/>
      <x:c r="P536" s="11" t="str"/>
      <x:c r="Q536" s="11" t="str"/>
      <x:c r="R536" s="11" t="str"/>
      <x:c r="S536" s="10" t="str">
        <x:v>Screenshots per viewport/state + keyboard notes</x:v>
      </x:c>
      <x:c r="T536" s="10" t="str">
        <x:v>Approved testing plan</x:v>
      </x:c>
      <x:c r="U536" s="10" t="str">
        <x:v>Reconcile tagged fixtures; archive/withdraw only owned test publications. Preserve audit/financial history.</x:v>
      </x:c>
      <x:c r="V536" s="12" t="str">
        <x:f>IF(A536="","",IF(L536="Not run","Pending",IF(OR(L536="Blocked",L536="Not deployed",L536="Not applicable"),IF(OR(K536="",R536=""),"Needs explanation","Recorded"),IF(OR(L536="Pass",L536="Fail"),IF(OR(K536="",M536="",P536=""),"Needs result/evidence/build","Recorded"),"Needs valid status"))))</x:f>
        <x:v>Pending</x:v>
      </x:c>
    </x:row>
    <x:row r="537" ht="52" customHeight="1">
      <x:c r="A537" s="10" t="str">
        <x:v>QA-0533</x:v>
      </x:c>
      <x:c r="B537" s="10" t="str">
        <x:v>U. Portal UX</x:v>
      </x:c>
      <x:c r="C537" s="10" t="str">
        <x:v>Keyboard and dialogs: /admin/workspaces/crm</x:v>
      </x:c>
      <x:c r="D537" s="10" t="str">
        <x:v>/admin/workspaces/crm</x:v>
      </x:c>
      <x:c r="E537" s="10" t="str">
        <x:v>Intended permitted role</x:v>
      </x:c>
      <x:c r="F537" s="10" t="str">
        <x:v>P2</x:v>
      </x:c>
      <x:c r="G537" s="10" t="str">
        <x:v>Live read-only + isolated failure states</x:v>
      </x:c>
      <x:c r="H537" s="10" t="str">
        <x:v>Record deployed build. Use assigned test accounts, synthetic data and approved fixtures/recipients only.</x:v>
      </x:c>
      <x:c r="I537" s="10" t="str">
        <x:v>Cover these sections individually: Inbox list / inquiry details / notes / assignment / tags / follow-up / history. Traverse every tab/control/dialog with keyboard. Check focus, Escape, focus return, labels and table scrolling.</x:v>
      </x:c>
      <x:c r="J537" s="10" t="str">
        <x:v>Visible logical focus and meaningful accessible names; dialogs usable without mouse.</x:v>
      </x:c>
      <x:c r="K537" s="11" t="str"/>
      <x:c r="L537" s="11" t="str">
        <x:v>Not run</x:v>
      </x:c>
      <x:c r="M537" s="11" t="str"/>
      <x:c r="N537" s="11" t="str"/>
      <x:c r="O537" s="11" t="str"/>
      <x:c r="P537" s="11" t="str"/>
      <x:c r="Q537" s="11" t="str"/>
      <x:c r="R537" s="11" t="str"/>
      <x:c r="S537" s="10" t="str">
        <x:v>Screenshots per viewport/state + keyboard notes</x:v>
      </x:c>
      <x:c r="T537" s="10" t="str">
        <x:v>Approved testing plan</x:v>
      </x:c>
      <x:c r="U537" s="10" t="str">
        <x:v>Reconcile tagged fixtures; archive/withdraw only owned test publications. Preserve audit/financial history.</x:v>
      </x:c>
      <x:c r="V537" s="12" t="str">
        <x:f>IF(A537="","",IF(L537="Not run","Pending",IF(OR(L537="Blocked",L537="Not deployed",L537="Not applicable"),IF(OR(K537="",R537=""),"Needs explanation","Recorded"),IF(OR(L537="Pass",L537="Fail"),IF(OR(K537="",M537="",P537=""),"Needs result/evidence/build","Recorded"),"Needs valid status"))))</x:f>
        <x:v>Pending</x:v>
      </x:c>
    </x:row>
    <x:row r="538" ht="52" customHeight="1">
      <x:c r="A538" s="10" t="str">
        <x:v>QA-0534</x:v>
      </x:c>
      <x:c r="B538" s="10" t="str">
        <x:v>U. Portal UX</x:v>
      </x:c>
      <x:c r="C538" s="10" t="str">
        <x:v>State and feedback: /admin/workspaces/crm</x:v>
      </x:c>
      <x:c r="D538" s="10" t="str">
        <x:v>/admin/workspaces/crm</x:v>
      </x:c>
      <x:c r="E538" s="10" t="str">
        <x:v>Intended permitted role</x:v>
      </x:c>
      <x:c r="F538" s="10" t="str">
        <x:v>P2</x:v>
      </x:c>
      <x:c r="G538" s="10" t="str">
        <x:v>Isolated only</x:v>
      </x:c>
      <x:c r="H538" s="10" t="str">
        <x:v>Record deployed build. Use assigned test accounts, synthetic data and approved fixtures/recipients only.</x:v>
      </x:c>
      <x:c r="I538" s="10" t="str">
        <x:v>Cover these sections individually: Inbox list / inquiry details / notes / assignment / tags / follow-up / history. Inspect available loading/empty/error/success/disabled/validation states. Use isolated fixtures for induced failure or empty data.</x:v>
      </x:c>
      <x:c r="J538" s="10" t="str">
        <x:v>States accurate, readable and actionable; input retained after failure and no false success.</x:v>
      </x:c>
      <x:c r="K538" s="11" t="str"/>
      <x:c r="L538" s="11" t="str">
        <x:v>Not run</x:v>
      </x:c>
      <x:c r="M538" s="11" t="str"/>
      <x:c r="N538" s="11" t="str"/>
      <x:c r="O538" s="11" t="str"/>
      <x:c r="P538" s="11" t="str"/>
      <x:c r="Q538" s="11" t="str"/>
      <x:c r="R538" s="11" t="str"/>
      <x:c r="S538" s="10" t="str">
        <x:v>Screenshots per viewport/state + keyboard notes</x:v>
      </x:c>
      <x:c r="T538" s="10" t="str">
        <x:v>Approved testing plan</x:v>
      </x:c>
      <x:c r="U538" s="10" t="str">
        <x:v>Reconcile tagged fixtures; archive/withdraw only owned test publications. Preserve audit/financial history.</x:v>
      </x:c>
      <x:c r="V538" s="12" t="str">
        <x:f>IF(A538="","",IF(L538="Not run","Pending",IF(OR(L538="Blocked",L538="Not deployed",L538="Not applicable"),IF(OR(K538="",R538=""),"Needs explanation","Recorded"),IF(OR(L538="Pass",L538="Fail"),IF(OR(K538="",M538="",P538=""),"Needs result/evidence/build","Recorded"),"Needs valid status"))))</x:f>
        <x:v>Pending</x:v>
      </x:c>
    </x:row>
    <x:row r="539" ht="52" customHeight="1">
      <x:c r="A539" s="10" t="str">
        <x:v>QA-0535</x:v>
      </x:c>
      <x:c r="B539" s="10" t="str">
        <x:v>U. Portal UX</x:v>
      </x:c>
      <x:c r="C539" s="10" t="str">
        <x:v>Responsive appearance: /admin/workspaces/communications</x:v>
      </x:c>
      <x:c r="D539" s="10" t="str">
        <x:v>/admin/workspaces/communications</x:v>
      </x:c>
      <x:c r="E539" s="10" t="str">
        <x:v>Intended permitted role</x:v>
      </x:c>
      <x:c r="F539" s="10" t="str">
        <x:v>P2</x:v>
      </x:c>
      <x:c r="G539" s="10" t="str">
        <x:v>Live read-only + isolated failure states</x:v>
      </x:c>
      <x:c r="H539" s="10" t="str">
        <x:v>Record deployed build. Use assigned test accounts, synthetic data and approved fixtures/recipients only.</x:v>
      </x:c>
      <x:c r="I539" s="10" t="str">
        <x:v>Cover these sections individually: Campaigns / email templates / deliveries / inbox / replies / invitation release where permitted. Inspect desktop 1440, tablet 768, phone 390 and narrow 320 widths, zoom 200%, long text and supported themes.</x:v>
      </x:c>
      <x:c r="J539" s="10" t="str">
        <x:v>Readable consistent logo/type/spacing/colour/tables; no page overflow, clipped controls or lost information.</x:v>
      </x:c>
      <x:c r="K539" s="11" t="str"/>
      <x:c r="L539" s="11" t="str">
        <x:v>Not run</x:v>
      </x:c>
      <x:c r="M539" s="11" t="str"/>
      <x:c r="N539" s="11" t="str"/>
      <x:c r="O539" s="11" t="str"/>
      <x:c r="P539" s="11" t="str"/>
      <x:c r="Q539" s="11" t="str"/>
      <x:c r="R539" s="11" t="str"/>
      <x:c r="S539" s="10" t="str">
        <x:v>Screenshots per viewport/state + keyboard notes</x:v>
      </x:c>
      <x:c r="T539" s="10" t="str">
        <x:v>Approved testing plan</x:v>
      </x:c>
      <x:c r="U539" s="10" t="str">
        <x:v>Reconcile tagged fixtures; archive/withdraw only owned test publications. Preserve audit/financial history.</x:v>
      </x:c>
      <x:c r="V539" s="12" t="str">
        <x:f>IF(A539="","",IF(L539="Not run","Pending",IF(OR(L539="Blocked",L539="Not deployed",L539="Not applicable"),IF(OR(K539="",R539=""),"Needs explanation","Recorded"),IF(OR(L539="Pass",L539="Fail"),IF(OR(K539="",M539="",P539=""),"Needs result/evidence/build","Recorded"),"Needs valid status"))))</x:f>
        <x:v>Pending</x:v>
      </x:c>
    </x:row>
    <x:row r="540" ht="52" customHeight="1">
      <x:c r="A540" s="10" t="str">
        <x:v>QA-0536</x:v>
      </x:c>
      <x:c r="B540" s="10" t="str">
        <x:v>U. Portal UX</x:v>
      </x:c>
      <x:c r="C540" s="10" t="str">
        <x:v>Keyboard and dialogs: /admin/workspaces/communications</x:v>
      </x:c>
      <x:c r="D540" s="10" t="str">
        <x:v>/admin/workspaces/communications</x:v>
      </x:c>
      <x:c r="E540" s="10" t="str">
        <x:v>Intended permitted role</x:v>
      </x:c>
      <x:c r="F540" s="10" t="str">
        <x:v>P2</x:v>
      </x:c>
      <x:c r="G540" s="10" t="str">
        <x:v>Live read-only + isolated failure states</x:v>
      </x:c>
      <x:c r="H540" s="10" t="str">
        <x:v>Record deployed build. Use assigned test accounts, synthetic data and approved fixtures/recipients only.</x:v>
      </x:c>
      <x:c r="I540" s="10" t="str">
        <x:v>Cover these sections individually: Campaigns / email templates / deliveries / inbox / replies / invitation release where permitted. Traverse every tab/control/dialog with keyboard. Check focus, Escape, focus return, labels and table scrolling.</x:v>
      </x:c>
      <x:c r="J540" s="10" t="str">
        <x:v>Visible logical focus and meaningful accessible names; dialogs usable without mouse.</x:v>
      </x:c>
      <x:c r="K540" s="11" t="str"/>
      <x:c r="L540" s="11" t="str">
        <x:v>Not run</x:v>
      </x:c>
      <x:c r="M540" s="11" t="str"/>
      <x:c r="N540" s="11" t="str"/>
      <x:c r="O540" s="11" t="str"/>
      <x:c r="P540" s="11" t="str"/>
      <x:c r="Q540" s="11" t="str"/>
      <x:c r="R540" s="11" t="str"/>
      <x:c r="S540" s="10" t="str">
        <x:v>Screenshots per viewport/state + keyboard notes</x:v>
      </x:c>
      <x:c r="T540" s="10" t="str">
        <x:v>Approved testing plan</x:v>
      </x:c>
      <x:c r="U540" s="10" t="str">
        <x:v>Reconcile tagged fixtures; archive/withdraw only owned test publications. Preserve audit/financial history.</x:v>
      </x:c>
      <x:c r="V540" s="12" t="str">
        <x:f>IF(A540="","",IF(L540="Not run","Pending",IF(OR(L540="Blocked",L540="Not deployed",L540="Not applicable"),IF(OR(K540="",R540=""),"Needs explanation","Recorded"),IF(OR(L540="Pass",L540="Fail"),IF(OR(K540="",M540="",P540=""),"Needs result/evidence/build","Recorded"),"Needs valid status"))))</x:f>
        <x:v>Pending</x:v>
      </x:c>
    </x:row>
    <x:row r="541" ht="66" customHeight="1">
      <x:c r="A541" s="10" t="str">
        <x:v>QA-0537</x:v>
      </x:c>
      <x:c r="B541" s="10" t="str">
        <x:v>U. Portal UX</x:v>
      </x:c>
      <x:c r="C541" s="10" t="str">
        <x:v>State and feedback: /admin/workspaces/communications</x:v>
      </x:c>
      <x:c r="D541" s="10" t="str">
        <x:v>/admin/workspaces/communications</x:v>
      </x:c>
      <x:c r="E541" s="10" t="str">
        <x:v>Intended permitted role</x:v>
      </x:c>
      <x:c r="F541" s="10" t="str">
        <x:v>P2</x:v>
      </x:c>
      <x:c r="G541" s="10" t="str">
        <x:v>Isolated only</x:v>
      </x:c>
      <x:c r="H541" s="10" t="str">
        <x:v>Record deployed build. Use assigned test accounts, synthetic data and approved fixtures/recipients only.</x:v>
      </x:c>
      <x:c r="I541" s="10" t="str">
        <x:v>Cover these sections individually: Campaigns / email templates / deliveries / inbox / replies / invitation release where permitted. Inspect available loading/empty/error/success/disabled/validation states. Use isolated fixtures for induced failure or empty data.</x:v>
      </x:c>
      <x:c r="J541" s="10" t="str">
        <x:v>States accurate, readable and actionable; input retained after failure and no false success.</x:v>
      </x:c>
      <x:c r="K541" s="11" t="str"/>
      <x:c r="L541" s="11" t="str">
        <x:v>Not run</x:v>
      </x:c>
      <x:c r="M541" s="11" t="str"/>
      <x:c r="N541" s="11" t="str"/>
      <x:c r="O541" s="11" t="str"/>
      <x:c r="P541" s="11" t="str"/>
      <x:c r="Q541" s="11" t="str"/>
      <x:c r="R541" s="11" t="str"/>
      <x:c r="S541" s="10" t="str">
        <x:v>Screenshots per viewport/state + keyboard notes</x:v>
      </x:c>
      <x:c r="T541" s="10" t="str">
        <x:v>Approved testing plan</x:v>
      </x:c>
      <x:c r="U541" s="10" t="str">
        <x:v>Reconcile tagged fixtures; archive/withdraw only owned test publications. Preserve audit/financial history.</x:v>
      </x:c>
      <x:c r="V541" s="12" t="str">
        <x:f>IF(A541="","",IF(L541="Not run","Pending",IF(OR(L541="Blocked",L541="Not deployed",L541="Not applicable"),IF(OR(K541="",R541=""),"Needs explanation","Recorded"),IF(OR(L541="Pass",L541="Fail"),IF(OR(K541="",M541="",P541=""),"Needs result/evidence/build","Recorded"),"Needs valid status"))))</x:f>
        <x:v>Pending</x:v>
      </x:c>
    </x:row>
    <x:row r="542" ht="66" customHeight="1">
      <x:c r="A542" s="10" t="str">
        <x:v>QA-0538</x:v>
      </x:c>
      <x:c r="B542" s="10" t="str">
        <x:v>U. Portal UX</x:v>
      </x:c>
      <x:c r="C542" s="10" t="str">
        <x:v>Responsive appearance: /admin/workspaces/events</x:v>
      </x:c>
      <x:c r="D542" s="10" t="str">
        <x:v>/admin/workspaces/events</x:v>
      </x:c>
      <x:c r="E542" s="10" t="str">
        <x:v>Intended permitted role</x:v>
      </x:c>
      <x:c r="F542" s="10" t="str">
        <x:v>P2</x:v>
      </x:c>
      <x:c r="G542" s="10" t="str">
        <x:v>Live read-only + isolated failure states</x:v>
      </x:c>
      <x:c r="H542" s="10" t="str">
        <x:v>Record deployed build. Use assigned test accounts, synthetic data and approved fixtures/recipients only.</x:v>
      </x:c>
      <x:c r="I542" s="10" t="str">
        <x:v>Cover these sections individually: Event editor / speakers / booking / registrations / payments / attendance / financials / expenses / resources / perks / announcements / promotions / reminders / delivery / completion. Inspect desktop 1440, tablet 768, phone 390 and narrow 320 widths, zoom 200%, long text and supported themes.</x:v>
      </x:c>
      <x:c r="J542" s="10" t="str">
        <x:v>Readable consistent logo/type/spacing/colour/tables; no page overflow, clipped controls or lost information.</x:v>
      </x:c>
      <x:c r="K542" s="11" t="str"/>
      <x:c r="L542" s="11" t="str">
        <x:v>Not run</x:v>
      </x:c>
      <x:c r="M542" s="11" t="str"/>
      <x:c r="N542" s="11" t="str"/>
      <x:c r="O542" s="11" t="str"/>
      <x:c r="P542" s="11" t="str"/>
      <x:c r="Q542" s="11" t="str"/>
      <x:c r="R542" s="11" t="str"/>
      <x:c r="S542" s="10" t="str">
        <x:v>Screenshots per viewport/state + keyboard notes</x:v>
      </x:c>
      <x:c r="T542" s="10" t="str">
        <x:v>Approved testing plan</x:v>
      </x:c>
      <x:c r="U542" s="10" t="str">
        <x:v>Reconcile tagged fixtures; archive/withdraw only owned test publications. Preserve audit/financial history.</x:v>
      </x:c>
      <x:c r="V542" s="12" t="str">
        <x:f>IF(A542="","",IF(L542="Not run","Pending",IF(OR(L542="Blocked",L542="Not deployed",L542="Not applicable"),IF(OR(K542="",R542=""),"Needs explanation","Recorded"),IF(OR(L542="Pass",L542="Fail"),IF(OR(K542="",M542="",P542=""),"Needs result/evidence/build","Recorded"),"Needs valid status"))))</x:f>
        <x:v>Pending</x:v>
      </x:c>
    </x:row>
    <x:row r="543" ht="66" customHeight="1">
      <x:c r="A543" s="10" t="str">
        <x:v>QA-0539</x:v>
      </x:c>
      <x:c r="B543" s="10" t="str">
        <x:v>U. Portal UX</x:v>
      </x:c>
      <x:c r="C543" s="10" t="str">
        <x:v>Keyboard and dialogs: /admin/workspaces/events</x:v>
      </x:c>
      <x:c r="D543" s="10" t="str">
        <x:v>/admin/workspaces/events</x:v>
      </x:c>
      <x:c r="E543" s="10" t="str">
        <x:v>Intended permitted role</x:v>
      </x:c>
      <x:c r="F543" s="10" t="str">
        <x:v>P2</x:v>
      </x:c>
      <x:c r="G543" s="10" t="str">
        <x:v>Live read-only + isolated failure states</x:v>
      </x:c>
      <x:c r="H543" s="10" t="str">
        <x:v>Record deployed build. Use assigned test accounts, synthetic data and approved fixtures/recipients only.</x:v>
      </x:c>
      <x:c r="I543" s="10" t="str">
        <x:v>Cover these sections individually: Event editor / speakers / booking / registrations / payments / attendance / financials / expenses / resources / perks / announcements / promotions / reminders / delivery / completion. Traverse every tab/control/dialog with keyboard. Check focus, Escape, focus return, labels and table scrolling.</x:v>
      </x:c>
      <x:c r="J543" s="10" t="str">
        <x:v>Visible logical focus and meaningful accessible names; dialogs usable without mouse.</x:v>
      </x:c>
      <x:c r="K543" s="11" t="str"/>
      <x:c r="L543" s="11" t="str">
        <x:v>Not run</x:v>
      </x:c>
      <x:c r="M543" s="11" t="str"/>
      <x:c r="N543" s="11" t="str"/>
      <x:c r="O543" s="11" t="str"/>
      <x:c r="P543" s="11" t="str"/>
      <x:c r="Q543" s="11" t="str"/>
      <x:c r="R543" s="11" t="str"/>
      <x:c r="S543" s="10" t="str">
        <x:v>Screenshots per viewport/state + keyboard notes</x:v>
      </x:c>
      <x:c r="T543" s="10" t="str">
        <x:v>Approved testing plan</x:v>
      </x:c>
      <x:c r="U543" s="10" t="str">
        <x:v>Reconcile tagged fixtures; archive/withdraw only owned test publications. Preserve audit/financial history.</x:v>
      </x:c>
      <x:c r="V543" s="12" t="str">
        <x:f>IF(A543="","",IF(L543="Not run","Pending",IF(OR(L543="Blocked",L543="Not deployed",L543="Not applicable"),IF(OR(K543="",R543=""),"Needs explanation","Recorded"),IF(OR(L543="Pass",L543="Fail"),IF(OR(K543="",M543="",P543=""),"Needs result/evidence/build","Recorded"),"Needs valid status"))))</x:f>
        <x:v>Pending</x:v>
      </x:c>
    </x:row>
    <x:row r="544" ht="80" customHeight="1">
      <x:c r="A544" s="10" t="str">
        <x:v>QA-0540</x:v>
      </x:c>
      <x:c r="B544" s="10" t="str">
        <x:v>U. Portal UX</x:v>
      </x:c>
      <x:c r="C544" s="10" t="str">
        <x:v>State and feedback: /admin/workspaces/events</x:v>
      </x:c>
      <x:c r="D544" s="10" t="str">
        <x:v>/admin/workspaces/events</x:v>
      </x:c>
      <x:c r="E544" s="10" t="str">
        <x:v>Intended permitted role</x:v>
      </x:c>
      <x:c r="F544" s="10" t="str">
        <x:v>P2</x:v>
      </x:c>
      <x:c r="G544" s="10" t="str">
        <x:v>Isolated only</x:v>
      </x:c>
      <x:c r="H544" s="10" t="str">
        <x:v>Record deployed build. Use assigned test accounts, synthetic data and approved fixtures/recipients only.</x:v>
      </x:c>
      <x:c r="I544" s="10" t="str">
        <x:v>Cover these sections individually: Event editor / speakers / booking / registrations / payments / attendance / financials / expenses / resources / perks / announcements / promotions / reminders / delivery / completion. Inspect available loading/empty/error/success/disabled/validation states. Use isolated fixtures for induced failure or empty data.</x:v>
      </x:c>
      <x:c r="J544" s="10" t="str">
        <x:v>States accurate, readable and actionable; input retained after failure and no false success.</x:v>
      </x:c>
      <x:c r="K544" s="11" t="str"/>
      <x:c r="L544" s="11" t="str">
        <x:v>Not run</x:v>
      </x:c>
      <x:c r="M544" s="11" t="str"/>
      <x:c r="N544" s="11" t="str"/>
      <x:c r="O544" s="11" t="str"/>
      <x:c r="P544" s="11" t="str"/>
      <x:c r="Q544" s="11" t="str"/>
      <x:c r="R544" s="11" t="str"/>
      <x:c r="S544" s="10" t="str">
        <x:v>Screenshots per viewport/state + keyboard notes</x:v>
      </x:c>
      <x:c r="T544" s="10" t="str">
        <x:v>Approved testing plan</x:v>
      </x:c>
      <x:c r="U544" s="10" t="str">
        <x:v>Reconcile tagged fixtures; archive/withdraw only owned test publications. Preserve audit/financial history.</x:v>
      </x:c>
      <x:c r="V544" s="12" t="str">
        <x:f>IF(A544="","",IF(L544="Not run","Pending",IF(OR(L544="Blocked",L544="Not deployed",L544="Not applicable"),IF(OR(K544="",R544=""),"Needs explanation","Recorded"),IF(OR(L544="Pass",L544="Fail"),IF(OR(K544="",M544="",P544=""),"Needs result/evidence/build","Recorded"),"Needs valid status"))))</x:f>
        <x:v>Pending</x:v>
      </x:c>
    </x:row>
    <x:row r="545" ht="52" customHeight="1">
      <x:c r="A545" s="10" t="str">
        <x:v>QA-0541</x:v>
      </x:c>
      <x:c r="B545" s="10" t="str">
        <x:v>U. Portal UX</x:v>
      </x:c>
      <x:c r="C545" s="10" t="str">
        <x:v>Responsive appearance: /admin/workspaces/flyers</x:v>
      </x:c>
      <x:c r="D545" s="10" t="str">
        <x:v>/admin/workspaces/flyers</x:v>
      </x:c>
      <x:c r="E545" s="10" t="str">
        <x:v>Intended permitted role</x:v>
      </x:c>
      <x:c r="F545" s="10" t="str">
        <x:v>P2</x:v>
      </x:c>
      <x:c r="G545" s="10" t="str">
        <x:v>Live read-only + isolated failure states</x:v>
      </x:c>
      <x:c r="H545" s="10" t="str">
        <x:v>Record deployed build. Use assigned test accounts, synthetic data and approved fixtures/recipients only.</x:v>
      </x:c>
      <x:c r="I545" s="10" t="str">
        <x:v>Cover these sections individually: Builder / variant / preview / export / publication. Inspect desktop 1440, tablet 768, phone 390 and narrow 320 widths, zoom 200%, long text and supported themes.</x:v>
      </x:c>
      <x:c r="J545" s="10" t="str">
        <x:v>Readable consistent logo/type/spacing/colour/tables; no page overflow, clipped controls or lost information.</x:v>
      </x:c>
      <x:c r="K545" s="11" t="str"/>
      <x:c r="L545" s="11" t="str">
        <x:v>Not run</x:v>
      </x:c>
      <x:c r="M545" s="11" t="str"/>
      <x:c r="N545" s="11" t="str"/>
      <x:c r="O545" s="11" t="str"/>
      <x:c r="P545" s="11" t="str"/>
      <x:c r="Q545" s="11" t="str"/>
      <x:c r="R545" s="11" t="str"/>
      <x:c r="S545" s="10" t="str">
        <x:v>Screenshots per viewport/state + keyboard notes</x:v>
      </x:c>
      <x:c r="T545" s="10" t="str">
        <x:v>Approved testing plan</x:v>
      </x:c>
      <x:c r="U545" s="10" t="str">
        <x:v>Reconcile tagged fixtures; archive/withdraw only owned test publications. Preserve audit/financial history.</x:v>
      </x:c>
      <x:c r="V545" s="12" t="str">
        <x:f>IF(A545="","",IF(L545="Not run","Pending",IF(OR(L545="Blocked",L545="Not deployed",L545="Not applicable"),IF(OR(K545="",R545=""),"Needs explanation","Recorded"),IF(OR(L545="Pass",L545="Fail"),IF(OR(K545="",M545="",P545=""),"Needs result/evidence/build","Recorded"),"Needs valid status"))))</x:f>
        <x:v>Pending</x:v>
      </x:c>
    </x:row>
    <x:row r="546" ht="52" customHeight="1">
      <x:c r="A546" s="10" t="str">
        <x:v>QA-0542</x:v>
      </x:c>
      <x:c r="B546" s="10" t="str">
        <x:v>U. Portal UX</x:v>
      </x:c>
      <x:c r="C546" s="10" t="str">
        <x:v>Keyboard and dialogs: /admin/workspaces/flyers</x:v>
      </x:c>
      <x:c r="D546" s="10" t="str">
        <x:v>/admin/workspaces/flyers</x:v>
      </x:c>
      <x:c r="E546" s="10" t="str">
        <x:v>Intended permitted role</x:v>
      </x:c>
      <x:c r="F546" s="10" t="str">
        <x:v>P2</x:v>
      </x:c>
      <x:c r="G546" s="10" t="str">
        <x:v>Live read-only + isolated failure states</x:v>
      </x:c>
      <x:c r="H546" s="10" t="str">
        <x:v>Record deployed build. Use assigned test accounts, synthetic data and approved fixtures/recipients only.</x:v>
      </x:c>
      <x:c r="I546" s="10" t="str">
        <x:v>Cover these sections individually: Builder / variant / preview / export / publication. Traverse every tab/control/dialog with keyboard. Check focus, Escape, focus return, labels and table scrolling.</x:v>
      </x:c>
      <x:c r="J546" s="10" t="str">
        <x:v>Visible logical focus and meaningful accessible names; dialogs usable without mouse.</x:v>
      </x:c>
      <x:c r="K546" s="11" t="str"/>
      <x:c r="L546" s="11" t="str">
        <x:v>Not run</x:v>
      </x:c>
      <x:c r="M546" s="11" t="str"/>
      <x:c r="N546" s="11" t="str"/>
      <x:c r="O546" s="11" t="str"/>
      <x:c r="P546" s="11" t="str"/>
      <x:c r="Q546" s="11" t="str"/>
      <x:c r="R546" s="11" t="str"/>
      <x:c r="S546" s="10" t="str">
        <x:v>Screenshots per viewport/state + keyboard notes</x:v>
      </x:c>
      <x:c r="T546" s="10" t="str">
        <x:v>Approved testing plan</x:v>
      </x:c>
      <x:c r="U546" s="10" t="str">
        <x:v>Reconcile tagged fixtures; archive/withdraw only owned test publications. Preserve audit/financial history.</x:v>
      </x:c>
      <x:c r="V546" s="12" t="str">
        <x:f>IF(A546="","",IF(L546="Not run","Pending",IF(OR(L546="Blocked",L546="Not deployed",L546="Not applicable"),IF(OR(K546="",R546=""),"Needs explanation","Recorded"),IF(OR(L546="Pass",L546="Fail"),IF(OR(K546="",M546="",P546=""),"Needs result/evidence/build","Recorded"),"Needs valid status"))))</x:f>
        <x:v>Pending</x:v>
      </x:c>
    </x:row>
    <x:row r="547" ht="52" customHeight="1">
      <x:c r="A547" s="10" t="str">
        <x:v>QA-0543</x:v>
      </x:c>
      <x:c r="B547" s="10" t="str">
        <x:v>U. Portal UX</x:v>
      </x:c>
      <x:c r="C547" s="10" t="str">
        <x:v>State and feedback: /admin/workspaces/flyers</x:v>
      </x:c>
      <x:c r="D547" s="10" t="str">
        <x:v>/admin/workspaces/flyers</x:v>
      </x:c>
      <x:c r="E547" s="10" t="str">
        <x:v>Intended permitted role</x:v>
      </x:c>
      <x:c r="F547" s="10" t="str">
        <x:v>P2</x:v>
      </x:c>
      <x:c r="G547" s="10" t="str">
        <x:v>Isolated only</x:v>
      </x:c>
      <x:c r="H547" s="10" t="str">
        <x:v>Record deployed build. Use assigned test accounts, synthetic data and approved fixtures/recipients only.</x:v>
      </x:c>
      <x:c r="I547" s="10" t="str">
        <x:v>Cover these sections individually: Builder / variant / preview / export / publication. Inspect available loading/empty/error/success/disabled/validation states. Use isolated fixtures for induced failure or empty data.</x:v>
      </x:c>
      <x:c r="J547" s="10" t="str">
        <x:v>States accurate, readable and actionable; input retained after failure and no false success.</x:v>
      </x:c>
      <x:c r="K547" s="11" t="str"/>
      <x:c r="L547" s="11" t="str">
        <x:v>Not run</x:v>
      </x:c>
      <x:c r="M547" s="11" t="str"/>
      <x:c r="N547" s="11" t="str"/>
      <x:c r="O547" s="11" t="str"/>
      <x:c r="P547" s="11" t="str"/>
      <x:c r="Q547" s="11" t="str"/>
      <x:c r="R547" s="11" t="str"/>
      <x:c r="S547" s="10" t="str">
        <x:v>Screenshots per viewport/state + keyboard notes</x:v>
      </x:c>
      <x:c r="T547" s="10" t="str">
        <x:v>Approved testing plan</x:v>
      </x:c>
      <x:c r="U547" s="10" t="str">
        <x:v>Reconcile tagged fixtures; archive/withdraw only owned test publications. Preserve audit/financial history.</x:v>
      </x:c>
      <x:c r="V547" s="12" t="str">
        <x:f>IF(A547="","",IF(L547="Not run","Pending",IF(OR(L547="Blocked",L547="Not deployed",L547="Not applicable"),IF(OR(K547="",R547=""),"Needs explanation","Recorded"),IF(OR(L547="Pass",L547="Fail"),IF(OR(K547="",M547="",P547=""),"Needs result/evidence/build","Recorded"),"Needs valid status"))))</x:f>
        <x:v>Pending</x:v>
      </x:c>
    </x:row>
    <x:row r="548" ht="52" customHeight="1">
      <x:c r="A548" s="10" t="str">
        <x:v>QA-0544</x:v>
      </x:c>
      <x:c r="B548" s="10" t="str">
        <x:v>U. Portal UX</x:v>
      </x:c>
      <x:c r="C548" s="10" t="str">
        <x:v>Responsive appearance: /admin/workspaces/imports</x:v>
      </x:c>
      <x:c r="D548" s="10" t="str">
        <x:v>/admin/workspaces/imports</x:v>
      </x:c>
      <x:c r="E548" s="10" t="str">
        <x:v>Intended permitted role</x:v>
      </x:c>
      <x:c r="F548" s="10" t="str">
        <x:v>P2</x:v>
      </x:c>
      <x:c r="G548" s="10" t="str">
        <x:v>Live read-only + isolated failure states</x:v>
      </x:c>
      <x:c r="H548" s="10" t="str">
        <x:v>Record deployed build. Use assigned test accounts, synthetic data and approved fixtures/recipients only.</x:v>
      </x:c>
      <x:c r="I548" s="10" t="str">
        <x:v>Cover these sections individually: Historical CSV preview / validation / disabled commit. Inspect desktop 1440, tablet 768, phone 390 and narrow 320 widths, zoom 200%, long text and supported themes.</x:v>
      </x:c>
      <x:c r="J548" s="10" t="str">
        <x:v>Readable consistent logo/type/spacing/colour/tables; no page overflow, clipped controls or lost information.</x:v>
      </x:c>
      <x:c r="K548" s="11" t="str"/>
      <x:c r="L548" s="11" t="str">
        <x:v>Not run</x:v>
      </x:c>
      <x:c r="M548" s="11" t="str"/>
      <x:c r="N548" s="11" t="str"/>
      <x:c r="O548" s="11" t="str"/>
      <x:c r="P548" s="11" t="str"/>
      <x:c r="Q548" s="11" t="str"/>
      <x:c r="R548" s="11" t="str"/>
      <x:c r="S548" s="10" t="str">
        <x:v>Screenshots per viewport/state + keyboard notes</x:v>
      </x:c>
      <x:c r="T548" s="10" t="str">
        <x:v>Approved testing plan</x:v>
      </x:c>
      <x:c r="U548" s="10" t="str">
        <x:v>Reconcile tagged fixtures; archive/withdraw only owned test publications. Preserve audit/financial history.</x:v>
      </x:c>
      <x:c r="V548" s="12" t="str">
        <x:f>IF(A548="","",IF(L548="Not run","Pending",IF(OR(L548="Blocked",L548="Not deployed",L548="Not applicable"),IF(OR(K548="",R548=""),"Needs explanation","Recorded"),IF(OR(L548="Pass",L548="Fail"),IF(OR(K548="",M548="",P548=""),"Needs result/evidence/build","Recorded"),"Needs valid status"))))</x:f>
        <x:v>Pending</x:v>
      </x:c>
    </x:row>
    <x:row r="549" ht="52" customHeight="1">
      <x:c r="A549" s="10" t="str">
        <x:v>QA-0545</x:v>
      </x:c>
      <x:c r="B549" s="10" t="str">
        <x:v>U. Portal UX</x:v>
      </x:c>
      <x:c r="C549" s="10" t="str">
        <x:v>Keyboard and dialogs: /admin/workspaces/imports</x:v>
      </x:c>
      <x:c r="D549" s="10" t="str">
        <x:v>/admin/workspaces/imports</x:v>
      </x:c>
      <x:c r="E549" s="10" t="str">
        <x:v>Intended permitted role</x:v>
      </x:c>
      <x:c r="F549" s="10" t="str">
        <x:v>P2</x:v>
      </x:c>
      <x:c r="G549" s="10" t="str">
        <x:v>Live read-only + isolated failure states</x:v>
      </x:c>
      <x:c r="H549" s="10" t="str">
        <x:v>Record deployed build. Use assigned test accounts, synthetic data and approved fixtures/recipients only.</x:v>
      </x:c>
      <x:c r="I549" s="10" t="str">
        <x:v>Cover these sections individually: Historical CSV preview / validation / disabled commit. Traverse every tab/control/dialog with keyboard. Check focus, Escape, focus return, labels and table scrolling.</x:v>
      </x:c>
      <x:c r="J549" s="10" t="str">
        <x:v>Visible logical focus and meaningful accessible names; dialogs usable without mouse.</x:v>
      </x:c>
      <x:c r="K549" s="11" t="str"/>
      <x:c r="L549" s="11" t="str">
        <x:v>Not run</x:v>
      </x:c>
      <x:c r="M549" s="11" t="str"/>
      <x:c r="N549" s="11" t="str"/>
      <x:c r="O549" s="11" t="str"/>
      <x:c r="P549" s="11" t="str"/>
      <x:c r="Q549" s="11" t="str"/>
      <x:c r="R549" s="11" t="str"/>
      <x:c r="S549" s="10" t="str">
        <x:v>Screenshots per viewport/state + keyboard notes</x:v>
      </x:c>
      <x:c r="T549" s="10" t="str">
        <x:v>Approved testing plan</x:v>
      </x:c>
      <x:c r="U549" s="10" t="str">
        <x:v>Reconcile tagged fixtures; archive/withdraw only owned test publications. Preserve audit/financial history.</x:v>
      </x:c>
      <x:c r="V549" s="12" t="str">
        <x:f>IF(A549="","",IF(L549="Not run","Pending",IF(OR(L549="Blocked",L549="Not deployed",L549="Not applicable"),IF(OR(K549="",R549=""),"Needs explanation","Recorded"),IF(OR(L549="Pass",L549="Fail"),IF(OR(K549="",M549="",P549=""),"Needs result/evidence/build","Recorded"),"Needs valid status"))))</x:f>
        <x:v>Pending</x:v>
      </x:c>
    </x:row>
    <x:row r="550" ht="52" customHeight="1">
      <x:c r="A550" s="10" t="str">
        <x:v>QA-0546</x:v>
      </x:c>
      <x:c r="B550" s="10" t="str">
        <x:v>U. Portal UX</x:v>
      </x:c>
      <x:c r="C550" s="10" t="str">
        <x:v>State and feedback: /admin/workspaces/imports</x:v>
      </x:c>
      <x:c r="D550" s="10" t="str">
        <x:v>/admin/workspaces/imports</x:v>
      </x:c>
      <x:c r="E550" s="10" t="str">
        <x:v>Intended permitted role</x:v>
      </x:c>
      <x:c r="F550" s="10" t="str">
        <x:v>P2</x:v>
      </x:c>
      <x:c r="G550" s="10" t="str">
        <x:v>Isolated only</x:v>
      </x:c>
      <x:c r="H550" s="10" t="str">
        <x:v>Record deployed build. Use assigned test accounts, synthetic data and approved fixtures/recipients only.</x:v>
      </x:c>
      <x:c r="I550" s="10" t="str">
        <x:v>Cover these sections individually: Historical CSV preview / validation / disabled commit. Inspect available loading/empty/error/success/disabled/validation states. Use isolated fixtures for induced failure or empty data.</x:v>
      </x:c>
      <x:c r="J550" s="10" t="str">
        <x:v>States accurate, readable and actionable; input retained after failure and no false success.</x:v>
      </x:c>
      <x:c r="K550" s="11" t="str"/>
      <x:c r="L550" s="11" t="str">
        <x:v>Not run</x:v>
      </x:c>
      <x:c r="M550" s="11" t="str"/>
      <x:c r="N550" s="11" t="str"/>
      <x:c r="O550" s="11" t="str"/>
      <x:c r="P550" s="11" t="str"/>
      <x:c r="Q550" s="11" t="str"/>
      <x:c r="R550" s="11" t="str"/>
      <x:c r="S550" s="10" t="str">
        <x:v>Screenshots per viewport/state + keyboard notes</x:v>
      </x:c>
      <x:c r="T550" s="10" t="str">
        <x:v>Approved testing plan</x:v>
      </x:c>
      <x:c r="U550" s="10" t="str">
        <x:v>Reconcile tagged fixtures; archive/withdraw only owned test publications. Preserve audit/financial history.</x:v>
      </x:c>
      <x:c r="V550" s="12" t="str">
        <x:f>IF(A550="","",IF(L550="Not run","Pending",IF(OR(L550="Blocked",L550="Not deployed",L550="Not applicable"),IF(OR(K550="",R550=""),"Needs explanation","Recorded"),IF(OR(L550="Pass",L550="Fail"),IF(OR(K550="",M550="",P550=""),"Needs result/evidence/build","Recorded"),"Needs valid status"))))</x:f>
        <x:v>Pending</x:v>
      </x:c>
    </x:row>
    <x:row r="551" ht="52" customHeight="1">
      <x:c r="A551" s="10" t="str">
        <x:v>QA-0547</x:v>
      </x:c>
      <x:c r="B551" s="10" t="str">
        <x:v>U. Portal UX</x:v>
      </x:c>
      <x:c r="C551" s="10" t="str">
        <x:v>Responsive appearance: /admin/workspaces/website</x:v>
      </x:c>
      <x:c r="D551" s="10" t="str">
        <x:v>/admin/workspaces/website</x:v>
      </x:c>
      <x:c r="E551" s="10" t="str">
        <x:v>Intended permitted role</x:v>
      </x:c>
      <x:c r="F551" s="10" t="str">
        <x:v>P2</x:v>
      </x:c>
      <x:c r="G551" s="10" t="str">
        <x:v>Live read-only + isolated failure states</x:v>
      </x:c>
      <x:c r="H551" s="10" t="str">
        <x:v>Record deployed build. Use assigned test accounts, synthetic data and approved fixtures/recipients only.</x:v>
      </x:c>
      <x:c r="I551" s="10" t="str">
        <x:v>Cover these sections individually: Site settings / homepage / links / downloads / preview / revisions / publication. Inspect desktop 1440, tablet 768, phone 390 and narrow 320 widths, zoom 200%, long text and supported themes.</x:v>
      </x:c>
      <x:c r="J551" s="10" t="str">
        <x:v>Readable consistent logo/type/spacing/colour/tables; no page overflow, clipped controls or lost information.</x:v>
      </x:c>
      <x:c r="K551" s="11" t="str"/>
      <x:c r="L551" s="11" t="str">
        <x:v>Not run</x:v>
      </x:c>
      <x:c r="M551" s="11" t="str"/>
      <x:c r="N551" s="11" t="str"/>
      <x:c r="O551" s="11" t="str"/>
      <x:c r="P551" s="11" t="str"/>
      <x:c r="Q551" s="11" t="str"/>
      <x:c r="R551" s="11" t="str"/>
      <x:c r="S551" s="10" t="str">
        <x:v>Screenshots per viewport/state + keyboard notes</x:v>
      </x:c>
      <x:c r="T551" s="10" t="str">
        <x:v>Approved testing plan</x:v>
      </x:c>
      <x:c r="U551" s="10" t="str">
        <x:v>Reconcile tagged fixtures; archive/withdraw only owned test publications. Preserve audit/financial history.</x:v>
      </x:c>
      <x:c r="V551" s="12" t="str">
        <x:f>IF(A551="","",IF(L551="Not run","Pending",IF(OR(L551="Blocked",L551="Not deployed",L551="Not applicable"),IF(OR(K551="",R551=""),"Needs explanation","Recorded"),IF(OR(L551="Pass",L551="Fail"),IF(OR(K551="",M551="",P551=""),"Needs result/evidence/build","Recorded"),"Needs valid status"))))</x:f>
        <x:v>Pending</x:v>
      </x:c>
    </x:row>
    <x:row r="552" ht="52" customHeight="1">
      <x:c r="A552" s="10" t="str">
        <x:v>QA-0548</x:v>
      </x:c>
      <x:c r="B552" s="10" t="str">
        <x:v>U. Portal UX</x:v>
      </x:c>
      <x:c r="C552" s="10" t="str">
        <x:v>Keyboard and dialogs: /admin/workspaces/website</x:v>
      </x:c>
      <x:c r="D552" s="10" t="str">
        <x:v>/admin/workspaces/website</x:v>
      </x:c>
      <x:c r="E552" s="10" t="str">
        <x:v>Intended permitted role</x:v>
      </x:c>
      <x:c r="F552" s="10" t="str">
        <x:v>P2</x:v>
      </x:c>
      <x:c r="G552" s="10" t="str">
        <x:v>Live read-only + isolated failure states</x:v>
      </x:c>
      <x:c r="H552" s="10" t="str">
        <x:v>Record deployed build. Use assigned test accounts, synthetic data and approved fixtures/recipients only.</x:v>
      </x:c>
      <x:c r="I552" s="10" t="str">
        <x:v>Cover these sections individually: Site settings / homepage / links / downloads / preview / revisions / publication. Traverse every tab/control/dialog with keyboard. Check focus, Escape, focus return, labels and table scrolling.</x:v>
      </x:c>
      <x:c r="J552" s="10" t="str">
        <x:v>Visible logical focus and meaningful accessible names; dialogs usable without mouse.</x:v>
      </x:c>
      <x:c r="K552" s="11" t="str"/>
      <x:c r="L552" s="11" t="str">
        <x:v>Not run</x:v>
      </x:c>
      <x:c r="M552" s="11" t="str"/>
      <x:c r="N552" s="11" t="str"/>
      <x:c r="O552" s="11" t="str"/>
      <x:c r="P552" s="11" t="str"/>
      <x:c r="Q552" s="11" t="str"/>
      <x:c r="R552" s="11" t="str"/>
      <x:c r="S552" s="10" t="str">
        <x:v>Screenshots per viewport/state + keyboard notes</x:v>
      </x:c>
      <x:c r="T552" s="10" t="str">
        <x:v>Approved testing plan</x:v>
      </x:c>
      <x:c r="U552" s="10" t="str">
        <x:v>Reconcile tagged fixtures; archive/withdraw only owned test publications. Preserve audit/financial history.</x:v>
      </x:c>
      <x:c r="V552" s="12" t="str">
        <x:f>IF(A552="","",IF(L552="Not run","Pending",IF(OR(L552="Blocked",L552="Not deployed",L552="Not applicable"),IF(OR(K552="",R552=""),"Needs explanation","Recorded"),IF(OR(L552="Pass",L552="Fail"),IF(OR(K552="",M552="",P552=""),"Needs result/evidence/build","Recorded"),"Needs valid status"))))</x:f>
        <x:v>Pending</x:v>
      </x:c>
    </x:row>
    <x:row r="553" ht="52" customHeight="1">
      <x:c r="A553" s="10" t="str">
        <x:v>QA-0549</x:v>
      </x:c>
      <x:c r="B553" s="10" t="str">
        <x:v>U. Portal UX</x:v>
      </x:c>
      <x:c r="C553" s="10" t="str">
        <x:v>State and feedback: /admin/workspaces/website</x:v>
      </x:c>
      <x:c r="D553" s="10" t="str">
        <x:v>/admin/workspaces/website</x:v>
      </x:c>
      <x:c r="E553" s="10" t="str">
        <x:v>Intended permitted role</x:v>
      </x:c>
      <x:c r="F553" s="10" t="str">
        <x:v>P2</x:v>
      </x:c>
      <x:c r="G553" s="10" t="str">
        <x:v>Isolated only</x:v>
      </x:c>
      <x:c r="H553" s="10" t="str">
        <x:v>Record deployed build. Use assigned test accounts, synthetic data and approved fixtures/recipients only.</x:v>
      </x:c>
      <x:c r="I553" s="10" t="str">
        <x:v>Cover these sections individually: Site settings / homepage / links / downloads / preview / revisions / publication. Inspect available loading/empty/error/success/disabled/validation states. Use isolated fixtures for induced failure or empty data.</x:v>
      </x:c>
      <x:c r="J553" s="10" t="str">
        <x:v>States accurate, readable and actionable; input retained after failure and no false success.</x:v>
      </x:c>
      <x:c r="K553" s="11" t="str"/>
      <x:c r="L553" s="11" t="str">
        <x:v>Not run</x:v>
      </x:c>
      <x:c r="M553" s="11" t="str"/>
      <x:c r="N553" s="11" t="str"/>
      <x:c r="O553" s="11" t="str"/>
      <x:c r="P553" s="11" t="str"/>
      <x:c r="Q553" s="11" t="str"/>
      <x:c r="R553" s="11" t="str"/>
      <x:c r="S553" s="10" t="str">
        <x:v>Screenshots per viewport/state + keyboard notes</x:v>
      </x:c>
      <x:c r="T553" s="10" t="str">
        <x:v>Approved testing plan</x:v>
      </x:c>
      <x:c r="U553" s="10" t="str">
        <x:v>Reconcile tagged fixtures; archive/withdraw only owned test publications. Preserve audit/financial history.</x:v>
      </x:c>
      <x:c r="V553" s="12" t="str">
        <x:f>IF(A553="","",IF(L553="Not run","Pending",IF(OR(L553="Blocked",L553="Not deployed",L553="Not applicable"),IF(OR(K553="",R553=""),"Needs explanation","Recorded"),IF(OR(L553="Pass",L553="Fail"),IF(OR(K553="",M553="",P553=""),"Needs result/evidence/build","Recorded"),"Needs valid status"))))</x:f>
        <x:v>Pending</x:v>
      </x:c>
    </x:row>
    <x:row r="554" ht="52" customHeight="1">
      <x:c r="A554" s="10" t="str">
        <x:v>QA-0550</x:v>
      </x:c>
      <x:c r="B554" s="10" t="str">
        <x:v>U. Portal UX</x:v>
      </x:c>
      <x:c r="C554" s="10" t="str">
        <x:v>Responsive appearance: /admin/workspaces/content</x:v>
      </x:c>
      <x:c r="D554" s="10" t="str">
        <x:v>/admin/workspaces/content</x:v>
      </x:c>
      <x:c r="E554" s="10" t="str">
        <x:v>Intended permitted role</x:v>
      </x:c>
      <x:c r="F554" s="10" t="str">
        <x:v>P2</x:v>
      </x:c>
      <x:c r="G554" s="10" t="str">
        <x:v>Live read-only + isolated failure states</x:v>
      </x:c>
      <x:c r="H554" s="10" t="str">
        <x:v>Record deployed build. Use assigned test accounts, synthetic data and approved fixtures/recipients only.</x:v>
      </x:c>
      <x:c r="I554" s="10" t="str">
        <x:v>Cover these sections individually: Pages / insights-news / sources / rich editor / preview / revisions / publication. Inspect desktop 1440, tablet 768, phone 390 and narrow 320 widths, zoom 200%, long text and supported themes.</x:v>
      </x:c>
      <x:c r="J554" s="10" t="str">
        <x:v>Readable consistent logo/type/spacing/colour/tables; no page overflow, clipped controls or lost information.</x:v>
      </x:c>
      <x:c r="K554" s="11" t="str"/>
      <x:c r="L554" s="11" t="str">
        <x:v>Not run</x:v>
      </x:c>
      <x:c r="M554" s="11" t="str"/>
      <x:c r="N554" s="11" t="str"/>
      <x:c r="O554" s="11" t="str"/>
      <x:c r="P554" s="11" t="str"/>
      <x:c r="Q554" s="11" t="str"/>
      <x:c r="R554" s="11" t="str"/>
      <x:c r="S554" s="10" t="str">
        <x:v>Screenshots per viewport/state + keyboard notes</x:v>
      </x:c>
      <x:c r="T554" s="10" t="str">
        <x:v>Approved testing plan</x:v>
      </x:c>
      <x:c r="U554" s="10" t="str">
        <x:v>Reconcile tagged fixtures; archive/withdraw only owned test publications. Preserve audit/financial history.</x:v>
      </x:c>
      <x:c r="V554" s="12" t="str">
        <x:f>IF(A554="","",IF(L554="Not run","Pending",IF(OR(L554="Blocked",L554="Not deployed",L554="Not applicable"),IF(OR(K554="",R554=""),"Needs explanation","Recorded"),IF(OR(L554="Pass",L554="Fail"),IF(OR(K554="",M554="",P554=""),"Needs result/evidence/build","Recorded"),"Needs valid status"))))</x:f>
        <x:v>Pending</x:v>
      </x:c>
    </x:row>
    <x:row r="555" ht="52" customHeight="1">
      <x:c r="A555" s="10" t="str">
        <x:v>QA-0551</x:v>
      </x:c>
      <x:c r="B555" s="10" t="str">
        <x:v>U. Portal UX</x:v>
      </x:c>
      <x:c r="C555" s="10" t="str">
        <x:v>Keyboard and dialogs: /admin/workspaces/content</x:v>
      </x:c>
      <x:c r="D555" s="10" t="str">
        <x:v>/admin/workspaces/content</x:v>
      </x:c>
      <x:c r="E555" s="10" t="str">
        <x:v>Intended permitted role</x:v>
      </x:c>
      <x:c r="F555" s="10" t="str">
        <x:v>P2</x:v>
      </x:c>
      <x:c r="G555" s="10" t="str">
        <x:v>Live read-only + isolated failure states</x:v>
      </x:c>
      <x:c r="H555" s="10" t="str">
        <x:v>Record deployed build. Use assigned test accounts, synthetic data and approved fixtures/recipients only.</x:v>
      </x:c>
      <x:c r="I555" s="10" t="str">
        <x:v>Cover these sections individually: Pages / insights-news / sources / rich editor / preview / revisions / publication. Traverse every tab/control/dialog with keyboard. Check focus, Escape, focus return, labels and table scrolling.</x:v>
      </x:c>
      <x:c r="J555" s="10" t="str">
        <x:v>Visible logical focus and meaningful accessible names; dialogs usable without mouse.</x:v>
      </x:c>
      <x:c r="K555" s="11" t="str"/>
      <x:c r="L555" s="11" t="str">
        <x:v>Not run</x:v>
      </x:c>
      <x:c r="M555" s="11" t="str"/>
      <x:c r="N555" s="11" t="str"/>
      <x:c r="O555" s="11" t="str"/>
      <x:c r="P555" s="11" t="str"/>
      <x:c r="Q555" s="11" t="str"/>
      <x:c r="R555" s="11" t="str"/>
      <x:c r="S555" s="10" t="str">
        <x:v>Screenshots per viewport/state + keyboard notes</x:v>
      </x:c>
      <x:c r="T555" s="10" t="str">
        <x:v>Approved testing plan</x:v>
      </x:c>
      <x:c r="U555" s="10" t="str">
        <x:v>Reconcile tagged fixtures; archive/withdraw only owned test publications. Preserve audit/financial history.</x:v>
      </x:c>
      <x:c r="V555" s="12" t="str">
        <x:f>IF(A555="","",IF(L555="Not run","Pending",IF(OR(L555="Blocked",L555="Not deployed",L555="Not applicable"),IF(OR(K555="",R555=""),"Needs explanation","Recorded"),IF(OR(L555="Pass",L555="Fail"),IF(OR(K555="",M555="",P555=""),"Needs result/evidence/build","Recorded"),"Needs valid status"))))</x:f>
        <x:v>Pending</x:v>
      </x:c>
    </x:row>
    <x:row r="556" ht="52" customHeight="1">
      <x:c r="A556" s="10" t="str">
        <x:v>QA-0552</x:v>
      </x:c>
      <x:c r="B556" s="10" t="str">
        <x:v>U. Portal UX</x:v>
      </x:c>
      <x:c r="C556" s="10" t="str">
        <x:v>State and feedback: /admin/workspaces/content</x:v>
      </x:c>
      <x:c r="D556" s="10" t="str">
        <x:v>/admin/workspaces/content</x:v>
      </x:c>
      <x:c r="E556" s="10" t="str">
        <x:v>Intended permitted role</x:v>
      </x:c>
      <x:c r="F556" s="10" t="str">
        <x:v>P2</x:v>
      </x:c>
      <x:c r="G556" s="10" t="str">
        <x:v>Isolated only</x:v>
      </x:c>
      <x:c r="H556" s="10" t="str">
        <x:v>Record deployed build. Use assigned test accounts, synthetic data and approved fixtures/recipients only.</x:v>
      </x:c>
      <x:c r="I556" s="10" t="str">
        <x:v>Cover these sections individually: Pages / insights-news / sources / rich editor / preview / revisions / publication. Inspect available loading/empty/error/success/disabled/validation states. Use isolated fixtures for induced failure or empty data.</x:v>
      </x:c>
      <x:c r="J556" s="10" t="str">
        <x:v>States accurate, readable and actionable; input retained after failure and no false success.</x:v>
      </x:c>
      <x:c r="K556" s="11" t="str"/>
      <x:c r="L556" s="11" t="str">
        <x:v>Not run</x:v>
      </x:c>
      <x:c r="M556" s="11" t="str"/>
      <x:c r="N556" s="11" t="str"/>
      <x:c r="O556" s="11" t="str"/>
      <x:c r="P556" s="11" t="str"/>
      <x:c r="Q556" s="11" t="str"/>
      <x:c r="R556" s="11" t="str"/>
      <x:c r="S556" s="10" t="str">
        <x:v>Screenshots per viewport/state + keyboard notes</x:v>
      </x:c>
      <x:c r="T556" s="10" t="str">
        <x:v>Approved testing plan</x:v>
      </x:c>
      <x:c r="U556" s="10" t="str">
        <x:v>Reconcile tagged fixtures; archive/withdraw only owned test publications. Preserve audit/financial history.</x:v>
      </x:c>
      <x:c r="V556" s="12" t="str">
        <x:f>IF(A556="","",IF(L556="Not run","Pending",IF(OR(L556="Blocked",L556="Not deployed",L556="Not applicable"),IF(OR(K556="",R556=""),"Needs explanation","Recorded"),IF(OR(L556="Pass",L556="Fail"),IF(OR(K556="",M556="",P556=""),"Needs result/evidence/build","Recorded"),"Needs valid status"))))</x:f>
        <x:v>Pending</x:v>
      </x:c>
    </x:row>
    <x:row r="557" ht="52" customHeight="1">
      <x:c r="A557" s="10" t="str">
        <x:v>QA-0553</x:v>
      </x:c>
      <x:c r="B557" s="10" t="str">
        <x:v>U. Portal UX</x:v>
      </x:c>
      <x:c r="C557" s="10" t="str">
        <x:v>Responsive appearance: /admin/workspaces/media</x:v>
      </x:c>
      <x:c r="D557" s="10" t="str">
        <x:v>/admin/workspaces/media</x:v>
      </x:c>
      <x:c r="E557" s="10" t="str">
        <x:v>Intended permitted role</x:v>
      </x:c>
      <x:c r="F557" s="10" t="str">
        <x:v>P2</x:v>
      </x:c>
      <x:c r="G557" s="10" t="str">
        <x:v>Live read-only + isolated failure states</x:v>
      </x:c>
      <x:c r="H557" s="10" t="str">
        <x:v>Record deployed build. Use assigned test accounts, synthetic data and approved fixtures/recipients only.</x:v>
      </x:c>
      <x:c r="I557" s="10" t="str">
        <x:v>Cover these sections individually: Upload / metadata / library / placements / order / publication. Inspect desktop 1440, tablet 768, phone 390 and narrow 320 widths, zoom 200%, long text and supported themes.</x:v>
      </x:c>
      <x:c r="J557" s="10" t="str">
        <x:v>Readable consistent logo/type/spacing/colour/tables; no page overflow, clipped controls or lost information.</x:v>
      </x:c>
      <x:c r="K557" s="11" t="str"/>
      <x:c r="L557" s="11" t="str">
        <x:v>Not run</x:v>
      </x:c>
      <x:c r="M557" s="11" t="str"/>
      <x:c r="N557" s="11" t="str"/>
      <x:c r="O557" s="11" t="str"/>
      <x:c r="P557" s="11" t="str"/>
      <x:c r="Q557" s="11" t="str"/>
      <x:c r="R557" s="11" t="str"/>
      <x:c r="S557" s="10" t="str">
        <x:v>Screenshots per viewport/state + keyboard notes</x:v>
      </x:c>
      <x:c r="T557" s="10" t="str">
        <x:v>Approved testing plan</x:v>
      </x:c>
      <x:c r="U557" s="10" t="str">
        <x:v>Reconcile tagged fixtures; archive/withdraw only owned test publications. Preserve audit/financial history.</x:v>
      </x:c>
      <x:c r="V557" s="12" t="str">
        <x:f>IF(A557="","",IF(L557="Not run","Pending",IF(OR(L557="Blocked",L557="Not deployed",L557="Not applicable"),IF(OR(K557="",R557=""),"Needs explanation","Recorded"),IF(OR(L557="Pass",L557="Fail"),IF(OR(K557="",M557="",P557=""),"Needs result/evidence/build","Recorded"),"Needs valid status"))))</x:f>
        <x:v>Pending</x:v>
      </x:c>
    </x:row>
    <x:row r="558" ht="52" customHeight="1">
      <x:c r="A558" s="10" t="str">
        <x:v>QA-0554</x:v>
      </x:c>
      <x:c r="B558" s="10" t="str">
        <x:v>U. Portal UX</x:v>
      </x:c>
      <x:c r="C558" s="10" t="str">
        <x:v>Keyboard and dialogs: /admin/workspaces/media</x:v>
      </x:c>
      <x:c r="D558" s="10" t="str">
        <x:v>/admin/workspaces/media</x:v>
      </x:c>
      <x:c r="E558" s="10" t="str">
        <x:v>Intended permitted role</x:v>
      </x:c>
      <x:c r="F558" s="10" t="str">
        <x:v>P2</x:v>
      </x:c>
      <x:c r="G558" s="10" t="str">
        <x:v>Live read-only + isolated failure states</x:v>
      </x:c>
      <x:c r="H558" s="10" t="str">
        <x:v>Record deployed build. Use assigned test accounts, synthetic data and approved fixtures/recipients only.</x:v>
      </x:c>
      <x:c r="I558" s="10" t="str">
        <x:v>Cover these sections individually: Upload / metadata / library / placements / order / publication. Traverse every tab/control/dialog with keyboard. Check focus, Escape, focus return, labels and table scrolling.</x:v>
      </x:c>
      <x:c r="J558" s="10" t="str">
        <x:v>Visible logical focus and meaningful accessible names; dialogs usable without mouse.</x:v>
      </x:c>
      <x:c r="K558" s="11" t="str"/>
      <x:c r="L558" s="11" t="str">
        <x:v>Not run</x:v>
      </x:c>
      <x:c r="M558" s="11" t="str"/>
      <x:c r="N558" s="11" t="str"/>
      <x:c r="O558" s="11" t="str"/>
      <x:c r="P558" s="11" t="str"/>
      <x:c r="Q558" s="11" t="str"/>
      <x:c r="R558" s="11" t="str"/>
      <x:c r="S558" s="10" t="str">
        <x:v>Screenshots per viewport/state + keyboard notes</x:v>
      </x:c>
      <x:c r="T558" s="10" t="str">
        <x:v>Approved testing plan</x:v>
      </x:c>
      <x:c r="U558" s="10" t="str">
        <x:v>Reconcile tagged fixtures; archive/withdraw only owned test publications. Preserve audit/financial history.</x:v>
      </x:c>
      <x:c r="V558" s="12" t="str">
        <x:f>IF(A558="","",IF(L558="Not run","Pending",IF(OR(L558="Blocked",L558="Not deployed",L558="Not applicable"),IF(OR(K558="",R558=""),"Needs explanation","Recorded"),IF(OR(L558="Pass",L558="Fail"),IF(OR(K558="",M558="",P558=""),"Needs result/evidence/build","Recorded"),"Needs valid status"))))</x:f>
        <x:v>Pending</x:v>
      </x:c>
    </x:row>
    <x:row r="559" ht="52" customHeight="1">
      <x:c r="A559" s="10" t="str">
        <x:v>QA-0555</x:v>
      </x:c>
      <x:c r="B559" s="10" t="str">
        <x:v>U. Portal UX</x:v>
      </x:c>
      <x:c r="C559" s="10" t="str">
        <x:v>State and feedback: /admin/workspaces/media</x:v>
      </x:c>
      <x:c r="D559" s="10" t="str">
        <x:v>/admin/workspaces/media</x:v>
      </x:c>
      <x:c r="E559" s="10" t="str">
        <x:v>Intended permitted role</x:v>
      </x:c>
      <x:c r="F559" s="10" t="str">
        <x:v>P2</x:v>
      </x:c>
      <x:c r="G559" s="10" t="str">
        <x:v>Isolated only</x:v>
      </x:c>
      <x:c r="H559" s="10" t="str">
        <x:v>Record deployed build. Use assigned test accounts, synthetic data and approved fixtures/recipients only.</x:v>
      </x:c>
      <x:c r="I559" s="10" t="str">
        <x:v>Cover these sections individually: Upload / metadata / library / placements / order / publication. Inspect available loading/empty/error/success/disabled/validation states. Use isolated fixtures for induced failure or empty data.</x:v>
      </x:c>
      <x:c r="J559" s="10" t="str">
        <x:v>States accurate, readable and actionable; input retained after failure and no false success.</x:v>
      </x:c>
      <x:c r="K559" s="11" t="str"/>
      <x:c r="L559" s="11" t="str">
        <x:v>Not run</x:v>
      </x:c>
      <x:c r="M559" s="11" t="str"/>
      <x:c r="N559" s="11" t="str"/>
      <x:c r="O559" s="11" t="str"/>
      <x:c r="P559" s="11" t="str"/>
      <x:c r="Q559" s="11" t="str"/>
      <x:c r="R559" s="11" t="str"/>
      <x:c r="S559" s="10" t="str">
        <x:v>Screenshots per viewport/state + keyboard notes</x:v>
      </x:c>
      <x:c r="T559" s="10" t="str">
        <x:v>Approved testing plan</x:v>
      </x:c>
      <x:c r="U559" s="10" t="str">
        <x:v>Reconcile tagged fixtures; archive/withdraw only owned test publications. Preserve audit/financial history.</x:v>
      </x:c>
      <x:c r="V559" s="12" t="str">
        <x:f>IF(A559="","",IF(L559="Not run","Pending",IF(OR(L559="Blocked",L559="Not deployed",L559="Not applicable"),IF(OR(K559="",R559=""),"Needs explanation","Recorded"),IF(OR(L559="Pass",L559="Fail"),IF(OR(K559="",M559="",P559=""),"Needs result/evidence/build","Recorded"),"Needs valid status"))))</x:f>
        <x:v>Pending</x:v>
      </x:c>
    </x:row>
    <x:row r="560" ht="52" customHeight="1">
      <x:c r="A560" s="10" t="str">
        <x:v>QA-0556</x:v>
      </x:c>
      <x:c r="B560" s="10" t="str">
        <x:v>U. Portal UX</x:v>
      </x:c>
      <x:c r="C560" s="10" t="str">
        <x:v>Responsive appearance: /admin/workspaces/governance</x:v>
      </x:c>
      <x:c r="D560" s="10" t="str">
        <x:v>/admin/workspaces/governance</x:v>
      </x:c>
      <x:c r="E560" s="10" t="str">
        <x:v>Intended permitted role</x:v>
      </x:c>
      <x:c r="F560" s="10" t="str">
        <x:v>P2</x:v>
      </x:c>
      <x:c r="G560" s="10" t="str">
        <x:v>Live read-only + isolated failure states</x:v>
      </x:c>
      <x:c r="H560" s="10" t="str">
        <x:v>Record deployed build. Use assigned test accounts, synthetic data and approved fixtures/recipients only.</x:v>
      </x:c>
      <x:c r="I560" s="10" t="str">
        <x:v>Cover these sections individually: People directory / groups / assignments / proposal review / portrait / heading / archive / publication. Inspect desktop 1440, tablet 768, phone 390 and narrow 320 widths, zoom 200%, long text and supported themes.</x:v>
      </x:c>
      <x:c r="J560" s="10" t="str">
        <x:v>Readable consistent logo/type/spacing/colour/tables; no page overflow, clipped controls or lost information.</x:v>
      </x:c>
      <x:c r="K560" s="11" t="str"/>
      <x:c r="L560" s="11" t="str">
        <x:v>Not run</x:v>
      </x:c>
      <x:c r="M560" s="11" t="str"/>
      <x:c r="N560" s="11" t="str"/>
      <x:c r="O560" s="11" t="str"/>
      <x:c r="P560" s="11" t="str"/>
      <x:c r="Q560" s="11" t="str"/>
      <x:c r="R560" s="11" t="str"/>
      <x:c r="S560" s="10" t="str">
        <x:v>Screenshots per viewport/state + keyboard notes</x:v>
      </x:c>
      <x:c r="T560" s="10" t="str">
        <x:v>Approved testing plan</x:v>
      </x:c>
      <x:c r="U560" s="10" t="str">
        <x:v>Reconcile tagged fixtures; archive/withdraw only owned test publications. Preserve audit/financial history.</x:v>
      </x:c>
      <x:c r="V560" s="12" t="str">
        <x:f>IF(A560="","",IF(L560="Not run","Pending",IF(OR(L560="Blocked",L560="Not deployed",L560="Not applicable"),IF(OR(K560="",R560=""),"Needs explanation","Recorded"),IF(OR(L560="Pass",L560="Fail"),IF(OR(K560="",M560="",P560=""),"Needs result/evidence/build","Recorded"),"Needs valid status"))))</x:f>
        <x:v>Pending</x:v>
      </x:c>
    </x:row>
    <x:row r="561" ht="52" customHeight="1">
      <x:c r="A561" s="10" t="str">
        <x:v>QA-0557</x:v>
      </x:c>
      <x:c r="B561" s="10" t="str">
        <x:v>U. Portal UX</x:v>
      </x:c>
      <x:c r="C561" s="10" t="str">
        <x:v>Keyboard and dialogs: /admin/workspaces/governance</x:v>
      </x:c>
      <x:c r="D561" s="10" t="str">
        <x:v>/admin/workspaces/governance</x:v>
      </x:c>
      <x:c r="E561" s="10" t="str">
        <x:v>Intended permitted role</x:v>
      </x:c>
      <x:c r="F561" s="10" t="str">
        <x:v>P2</x:v>
      </x:c>
      <x:c r="G561" s="10" t="str">
        <x:v>Live read-only + isolated failure states</x:v>
      </x:c>
      <x:c r="H561" s="10" t="str">
        <x:v>Record deployed build. Use assigned test accounts, synthetic data and approved fixtures/recipients only.</x:v>
      </x:c>
      <x:c r="I561" s="10" t="str">
        <x:v>Cover these sections individually: People directory / groups / assignments / proposal review / portrait / heading / archive / publication. Traverse every tab/control/dialog with keyboard. Check focus, Escape, focus return, labels and table scrolling.</x:v>
      </x:c>
      <x:c r="J561" s="10" t="str">
        <x:v>Visible logical focus and meaningful accessible names; dialogs usable without mouse.</x:v>
      </x:c>
      <x:c r="K561" s="11" t="str"/>
      <x:c r="L561" s="11" t="str">
        <x:v>Not run</x:v>
      </x:c>
      <x:c r="M561" s="11" t="str"/>
      <x:c r="N561" s="11" t="str"/>
      <x:c r="O561" s="11" t="str"/>
      <x:c r="P561" s="11" t="str"/>
      <x:c r="Q561" s="11" t="str"/>
      <x:c r="R561" s="11" t="str"/>
      <x:c r="S561" s="10" t="str">
        <x:v>Screenshots per viewport/state + keyboard notes</x:v>
      </x:c>
      <x:c r="T561" s="10" t="str">
        <x:v>Approved testing plan</x:v>
      </x:c>
      <x:c r="U561" s="10" t="str">
        <x:v>Reconcile tagged fixtures; archive/withdraw only owned test publications. Preserve audit/financial history.</x:v>
      </x:c>
      <x:c r="V561" s="12" t="str">
        <x:f>IF(A561="","",IF(L561="Not run","Pending",IF(OR(L561="Blocked",L561="Not deployed",L561="Not applicable"),IF(OR(K561="",R561=""),"Needs explanation","Recorded"),IF(OR(L561="Pass",L561="Fail"),IF(OR(K561="",M561="",P561=""),"Needs result/evidence/build","Recorded"),"Needs valid status"))))</x:f>
        <x:v>Pending</x:v>
      </x:c>
    </x:row>
    <x:row r="562" ht="66" customHeight="1">
      <x:c r="A562" s="10" t="str">
        <x:v>QA-0558</x:v>
      </x:c>
      <x:c r="B562" s="10" t="str">
        <x:v>U. Portal UX</x:v>
      </x:c>
      <x:c r="C562" s="10" t="str">
        <x:v>State and feedback: /admin/workspaces/governance</x:v>
      </x:c>
      <x:c r="D562" s="10" t="str">
        <x:v>/admin/workspaces/governance</x:v>
      </x:c>
      <x:c r="E562" s="10" t="str">
        <x:v>Intended permitted role</x:v>
      </x:c>
      <x:c r="F562" s="10" t="str">
        <x:v>P2</x:v>
      </x:c>
      <x:c r="G562" s="10" t="str">
        <x:v>Isolated only</x:v>
      </x:c>
      <x:c r="H562" s="10" t="str">
        <x:v>Record deployed build. Use assigned test accounts, synthetic data and approved fixtures/recipients only.</x:v>
      </x:c>
      <x:c r="I562" s="10" t="str">
        <x:v>Cover these sections individually: People directory / groups / assignments / proposal review / portrait / heading / archive / publication. Inspect available loading/empty/error/success/disabled/validation states. Use isolated fixtures for induced failure or empty data.</x:v>
      </x:c>
      <x:c r="J562" s="10" t="str">
        <x:v>States accurate, readable and actionable; input retained after failure and no false success.</x:v>
      </x:c>
      <x:c r="K562" s="11" t="str"/>
      <x:c r="L562" s="11" t="str">
        <x:v>Not run</x:v>
      </x:c>
      <x:c r="M562" s="11" t="str"/>
      <x:c r="N562" s="11" t="str"/>
      <x:c r="O562" s="11" t="str"/>
      <x:c r="P562" s="11" t="str"/>
      <x:c r="Q562" s="11" t="str"/>
      <x:c r="R562" s="11" t="str"/>
      <x:c r="S562" s="10" t="str">
        <x:v>Screenshots per viewport/state + keyboard notes</x:v>
      </x:c>
      <x:c r="T562" s="10" t="str">
        <x:v>Approved testing plan</x:v>
      </x:c>
      <x:c r="U562" s="10" t="str">
        <x:v>Reconcile tagged fixtures; archive/withdraw only owned test publications. Preserve audit/financial history.</x:v>
      </x:c>
      <x:c r="V562" s="12" t="str">
        <x:f>IF(A562="","",IF(L562="Not run","Pending",IF(OR(L562="Blocked",L562="Not deployed",L562="Not applicable"),IF(OR(K562="",R562=""),"Needs explanation","Recorded"),IF(OR(L562="Pass",L562="Fail"),IF(OR(K562="",M562="",P562=""),"Needs result/evidence/build","Recorded"),"Needs valid status"))))</x:f>
        <x:v>Pending</x:v>
      </x:c>
    </x:row>
    <x:row r="563" ht="52" customHeight="1">
      <x:c r="A563" s="10" t="str">
        <x:v>QA-0559</x:v>
      </x:c>
      <x:c r="B563" s="10" t="str">
        <x:v>U. Portal UX</x:v>
      </x:c>
      <x:c r="C563" s="10" t="str">
        <x:v>Responsive appearance: /admin/workspaces/payments</x:v>
      </x:c>
      <x:c r="D563" s="10" t="str">
        <x:v>/admin/workspaces/payments</x:v>
      </x:c>
      <x:c r="E563" s="10" t="str">
        <x:v>Intended permitted role</x:v>
      </x:c>
      <x:c r="F563" s="10" t="str">
        <x:v>P2</x:v>
      </x:c>
      <x:c r="G563" s="10" t="str">
        <x:v>Live read-only + isolated failure states</x:v>
      </x:c>
      <x:c r="H563" s="10" t="str">
        <x:v>Record deployed build. Use assigned test accounts, synthetic data and approved fixtures/recipients only.</x:v>
      </x:c>
      <x:c r="I563" s="10" t="str">
        <x:v>Cover these sections individually: Registration payment review / payment account drafts-active-past / QR / revisions / confirmation. Inspect desktop 1440, tablet 768, phone 390 and narrow 320 widths, zoom 200%, long text and supported themes.</x:v>
      </x:c>
      <x:c r="J563" s="10" t="str">
        <x:v>Readable consistent logo/type/spacing/colour/tables; no page overflow, clipped controls or lost information.</x:v>
      </x:c>
      <x:c r="K563" s="11" t="str"/>
      <x:c r="L563" s="11" t="str">
        <x:v>Not run</x:v>
      </x:c>
      <x:c r="M563" s="11" t="str"/>
      <x:c r="N563" s="11" t="str"/>
      <x:c r="O563" s="11" t="str"/>
      <x:c r="P563" s="11" t="str"/>
      <x:c r="Q563" s="11" t="str"/>
      <x:c r="R563" s="11" t="str"/>
      <x:c r="S563" s="10" t="str">
        <x:v>Screenshots per viewport/state + keyboard notes</x:v>
      </x:c>
      <x:c r="T563" s="10" t="str">
        <x:v>Approved testing plan</x:v>
      </x:c>
      <x:c r="U563" s="10" t="str">
        <x:v>Reconcile tagged fixtures; archive/withdraw only owned test publications. Preserve audit/financial history.</x:v>
      </x:c>
      <x:c r="V563" s="12" t="str">
        <x:f>IF(A563="","",IF(L563="Not run","Pending",IF(OR(L563="Blocked",L563="Not deployed",L563="Not applicable"),IF(OR(K563="",R563=""),"Needs explanation","Recorded"),IF(OR(L563="Pass",L563="Fail"),IF(OR(K563="",M563="",P563=""),"Needs result/evidence/build","Recorded"),"Needs valid status"))))</x:f>
        <x:v>Pending</x:v>
      </x:c>
    </x:row>
    <x:row r="564" ht="52" customHeight="1">
      <x:c r="A564" s="10" t="str">
        <x:v>QA-0560</x:v>
      </x:c>
      <x:c r="B564" s="10" t="str">
        <x:v>U. Portal UX</x:v>
      </x:c>
      <x:c r="C564" s="10" t="str">
        <x:v>Keyboard and dialogs: /admin/workspaces/payments</x:v>
      </x:c>
      <x:c r="D564" s="10" t="str">
        <x:v>/admin/workspaces/payments</x:v>
      </x:c>
      <x:c r="E564" s="10" t="str">
        <x:v>Intended permitted role</x:v>
      </x:c>
      <x:c r="F564" s="10" t="str">
        <x:v>P2</x:v>
      </x:c>
      <x:c r="G564" s="10" t="str">
        <x:v>Live read-only + isolated failure states</x:v>
      </x:c>
      <x:c r="H564" s="10" t="str">
        <x:v>Record deployed build. Use assigned test accounts, synthetic data and approved fixtures/recipients only.</x:v>
      </x:c>
      <x:c r="I564" s="10" t="str">
        <x:v>Cover these sections individually: Registration payment review / payment account drafts-active-past / QR / revisions / confirmation. Traverse every tab/control/dialog with keyboard. Check focus, Escape, focus return, labels and table scrolling.</x:v>
      </x:c>
      <x:c r="J564" s="10" t="str">
        <x:v>Visible logical focus and meaningful accessible names; dialogs usable without mouse.</x:v>
      </x:c>
      <x:c r="K564" s="11" t="str"/>
      <x:c r="L564" s="11" t="str">
        <x:v>Not run</x:v>
      </x:c>
      <x:c r="M564" s="11" t="str"/>
      <x:c r="N564" s="11" t="str"/>
      <x:c r="O564" s="11" t="str"/>
      <x:c r="P564" s="11" t="str"/>
      <x:c r="Q564" s="11" t="str"/>
      <x:c r="R564" s="11" t="str"/>
      <x:c r="S564" s="10" t="str">
        <x:v>Screenshots per viewport/state + keyboard notes</x:v>
      </x:c>
      <x:c r="T564" s="10" t="str">
        <x:v>Approved testing plan</x:v>
      </x:c>
      <x:c r="U564" s="10" t="str">
        <x:v>Reconcile tagged fixtures; archive/withdraw only owned test publications. Preserve audit/financial history.</x:v>
      </x:c>
      <x:c r="V564" s="12" t="str">
        <x:f>IF(A564="","",IF(L564="Not run","Pending",IF(OR(L564="Blocked",L564="Not deployed",L564="Not applicable"),IF(OR(K564="",R564=""),"Needs explanation","Recorded"),IF(OR(L564="Pass",L564="Fail"),IF(OR(K564="",M564="",P564=""),"Needs result/evidence/build","Recorded"),"Needs valid status"))))</x:f>
        <x:v>Pending</x:v>
      </x:c>
    </x:row>
    <x:row r="565" ht="66" customHeight="1">
      <x:c r="A565" s="10" t="str">
        <x:v>QA-0561</x:v>
      </x:c>
      <x:c r="B565" s="10" t="str">
        <x:v>U. Portal UX</x:v>
      </x:c>
      <x:c r="C565" s="10" t="str">
        <x:v>State and feedback: /admin/workspaces/payments</x:v>
      </x:c>
      <x:c r="D565" s="10" t="str">
        <x:v>/admin/workspaces/payments</x:v>
      </x:c>
      <x:c r="E565" s="10" t="str">
        <x:v>Intended permitted role</x:v>
      </x:c>
      <x:c r="F565" s="10" t="str">
        <x:v>P2</x:v>
      </x:c>
      <x:c r="G565" s="10" t="str">
        <x:v>Isolated only</x:v>
      </x:c>
      <x:c r="H565" s="10" t="str">
        <x:v>Record deployed build. Use assigned test accounts, synthetic data and approved fixtures/recipients only.</x:v>
      </x:c>
      <x:c r="I565" s="10" t="str">
        <x:v>Cover these sections individually: Registration payment review / payment account drafts-active-past / QR / revisions / confirmation. Inspect available loading/empty/error/success/disabled/validation states. Use isolated fixtures for induced failure or empty data.</x:v>
      </x:c>
      <x:c r="J565" s="10" t="str">
        <x:v>States accurate, readable and actionable; input retained after failure and no false success.</x:v>
      </x:c>
      <x:c r="K565" s="11" t="str"/>
      <x:c r="L565" s="11" t="str">
        <x:v>Not run</x:v>
      </x:c>
      <x:c r="M565" s="11" t="str"/>
      <x:c r="N565" s="11" t="str"/>
      <x:c r="O565" s="11" t="str"/>
      <x:c r="P565" s="11" t="str"/>
      <x:c r="Q565" s="11" t="str"/>
      <x:c r="R565" s="11" t="str"/>
      <x:c r="S565" s="10" t="str">
        <x:v>Screenshots per viewport/state + keyboard notes</x:v>
      </x:c>
      <x:c r="T565" s="10" t="str">
        <x:v>Approved testing plan</x:v>
      </x:c>
      <x:c r="U565" s="10" t="str">
        <x:v>Reconcile tagged fixtures; archive/withdraw only owned test publications. Preserve audit/financial history.</x:v>
      </x:c>
      <x:c r="V565" s="12" t="str">
        <x:f>IF(A565="","",IF(L565="Not run","Pending",IF(OR(L565="Blocked",L565="Not deployed",L565="Not applicable"),IF(OR(K565="",R565=""),"Needs explanation","Recorded"),IF(OR(L565="Pass",L565="Fail"),IF(OR(K565="",M565="",P565=""),"Needs result/evidence/build","Recorded"),"Needs valid status"))))</x:f>
        <x:v>Pending</x:v>
      </x:c>
    </x:row>
    <x:row r="566" ht="52" customHeight="1">
      <x:c r="A566" s="10" t="str">
        <x:v>QA-0562</x:v>
      </x:c>
      <x:c r="B566" s="10" t="str">
        <x:v>U. Portal UX</x:v>
      </x:c>
      <x:c r="C566" s="10" t="str">
        <x:v>Responsive appearance: /admin/workspaces/onboarding-email</x:v>
      </x:c>
      <x:c r="D566" s="10" t="str">
        <x:v>/admin/workspaces/onboarding-email</x:v>
      </x:c>
      <x:c r="E566" s="10" t="str">
        <x:v>Intended permitted role</x:v>
      </x:c>
      <x:c r="F566" s="10" t="str">
        <x:v>P2</x:v>
      </x:c>
      <x:c r="G566" s="10" t="str">
        <x:v>Live read-only + isolated failure states</x:v>
      </x:c>
      <x:c r="H566" s="10" t="str">
        <x:v>Record deployed build. Use assigned test accounts, synthetic data and approved fixtures/recipients only.</x:v>
      </x:c>
      <x:c r="I566" s="10" t="str">
        <x:v>Cover these sections individually: Templates / readiness / test preview / configuration. Inspect desktop 1440, tablet 768, phone 390 and narrow 320 widths, zoom 200%, long text and supported themes.</x:v>
      </x:c>
      <x:c r="J566" s="10" t="str">
        <x:v>Readable consistent logo/type/spacing/colour/tables; no page overflow, clipped controls or lost information.</x:v>
      </x:c>
      <x:c r="K566" s="11" t="str"/>
      <x:c r="L566" s="11" t="str">
        <x:v>Not run</x:v>
      </x:c>
      <x:c r="M566" s="11" t="str"/>
      <x:c r="N566" s="11" t="str"/>
      <x:c r="O566" s="11" t="str"/>
      <x:c r="P566" s="11" t="str"/>
      <x:c r="Q566" s="11" t="str"/>
      <x:c r="R566" s="11" t="str"/>
      <x:c r="S566" s="10" t="str">
        <x:v>Screenshots per viewport/state + keyboard notes</x:v>
      </x:c>
      <x:c r="T566" s="10" t="str">
        <x:v>Approved testing plan</x:v>
      </x:c>
      <x:c r="U566" s="10" t="str">
        <x:v>Reconcile tagged fixtures; archive/withdraw only owned test publications. Preserve audit/financial history.</x:v>
      </x:c>
      <x:c r="V566" s="12" t="str">
        <x:f>IF(A566="","",IF(L566="Not run","Pending",IF(OR(L566="Blocked",L566="Not deployed",L566="Not applicable"),IF(OR(K566="",R566=""),"Needs explanation","Recorded"),IF(OR(L566="Pass",L566="Fail"),IF(OR(K566="",M566="",P566=""),"Needs result/evidence/build","Recorded"),"Needs valid status"))))</x:f>
        <x:v>Pending</x:v>
      </x:c>
    </x:row>
    <x:row r="567" ht="52" customHeight="1">
      <x:c r="A567" s="10" t="str">
        <x:v>QA-0563</x:v>
      </x:c>
      <x:c r="B567" s="10" t="str">
        <x:v>U. Portal UX</x:v>
      </x:c>
      <x:c r="C567" s="10" t="str">
        <x:v>Keyboard and dialogs: /admin/workspaces/onboarding-email</x:v>
      </x:c>
      <x:c r="D567" s="10" t="str">
        <x:v>/admin/workspaces/onboarding-email</x:v>
      </x:c>
      <x:c r="E567" s="10" t="str">
        <x:v>Intended permitted role</x:v>
      </x:c>
      <x:c r="F567" s="10" t="str">
        <x:v>P2</x:v>
      </x:c>
      <x:c r="G567" s="10" t="str">
        <x:v>Live read-only + isolated failure states</x:v>
      </x:c>
      <x:c r="H567" s="10" t="str">
        <x:v>Record deployed build. Use assigned test accounts, synthetic data and approved fixtures/recipients only.</x:v>
      </x:c>
      <x:c r="I567" s="10" t="str">
        <x:v>Cover these sections individually: Templates / readiness / test preview / configuration. Traverse every tab/control/dialog with keyboard. Check focus, Escape, focus return, labels and table scrolling.</x:v>
      </x:c>
      <x:c r="J567" s="10" t="str">
        <x:v>Visible logical focus and meaningful accessible names; dialogs usable without mouse.</x:v>
      </x:c>
      <x:c r="K567" s="11" t="str"/>
      <x:c r="L567" s="11" t="str">
        <x:v>Not run</x:v>
      </x:c>
      <x:c r="M567" s="11" t="str"/>
      <x:c r="N567" s="11" t="str"/>
      <x:c r="O567" s="11" t="str"/>
      <x:c r="P567" s="11" t="str"/>
      <x:c r="Q567" s="11" t="str"/>
      <x:c r="R567" s="11" t="str"/>
      <x:c r="S567" s="10" t="str">
        <x:v>Screenshots per viewport/state + keyboard notes</x:v>
      </x:c>
      <x:c r="T567" s="10" t="str">
        <x:v>Approved testing plan</x:v>
      </x:c>
      <x:c r="U567" s="10" t="str">
        <x:v>Reconcile tagged fixtures; archive/withdraw only owned test publications. Preserve audit/financial history.</x:v>
      </x:c>
      <x:c r="V567" s="12" t="str">
        <x:f>IF(A567="","",IF(L567="Not run","Pending",IF(OR(L567="Blocked",L567="Not deployed",L567="Not applicable"),IF(OR(K567="",R567=""),"Needs explanation","Recorded"),IF(OR(L567="Pass",L567="Fail"),IF(OR(K567="",M567="",P567=""),"Needs result/evidence/build","Recorded"),"Needs valid status"))))</x:f>
        <x:v>Pending</x:v>
      </x:c>
    </x:row>
    <x:row r="568" ht="52" customHeight="1">
      <x:c r="A568" s="10" t="str">
        <x:v>QA-0564</x:v>
      </x:c>
      <x:c r="B568" s="10" t="str">
        <x:v>U. Portal UX</x:v>
      </x:c>
      <x:c r="C568" s="10" t="str">
        <x:v>State and feedback: /admin/workspaces/onboarding-email</x:v>
      </x:c>
      <x:c r="D568" s="10" t="str">
        <x:v>/admin/workspaces/onboarding-email</x:v>
      </x:c>
      <x:c r="E568" s="10" t="str">
        <x:v>Intended permitted role</x:v>
      </x:c>
      <x:c r="F568" s="10" t="str">
        <x:v>P2</x:v>
      </x:c>
      <x:c r="G568" s="10" t="str">
        <x:v>Isolated only</x:v>
      </x:c>
      <x:c r="H568" s="10" t="str">
        <x:v>Record deployed build. Use assigned test accounts, synthetic data and approved fixtures/recipients only.</x:v>
      </x:c>
      <x:c r="I568" s="10" t="str">
        <x:v>Cover these sections individually: Templates / readiness / test preview / configuration. Inspect available loading/empty/error/success/disabled/validation states. Use isolated fixtures for induced failure or empty data.</x:v>
      </x:c>
      <x:c r="J568" s="10" t="str">
        <x:v>States accurate, readable and actionable; input retained after failure and no false success.</x:v>
      </x:c>
      <x:c r="K568" s="11" t="str"/>
      <x:c r="L568" s="11" t="str">
        <x:v>Not run</x:v>
      </x:c>
      <x:c r="M568" s="11" t="str"/>
      <x:c r="N568" s="11" t="str"/>
      <x:c r="O568" s="11" t="str"/>
      <x:c r="P568" s="11" t="str"/>
      <x:c r="Q568" s="11" t="str"/>
      <x:c r="R568" s="11" t="str"/>
      <x:c r="S568" s="10" t="str">
        <x:v>Screenshots per viewport/state + keyboard notes</x:v>
      </x:c>
      <x:c r="T568" s="10" t="str">
        <x:v>Approved testing plan</x:v>
      </x:c>
      <x:c r="U568" s="10" t="str">
        <x:v>Reconcile tagged fixtures; archive/withdraw only owned test publications. Preserve audit/financial history.</x:v>
      </x:c>
      <x:c r="V568" s="12" t="str">
        <x:f>IF(A568="","",IF(L568="Not run","Pending",IF(OR(L568="Blocked",L568="Not deployed",L568="Not applicable"),IF(OR(K568="",R568=""),"Needs explanation","Recorded"),IF(OR(L568="Pass",L568="Fail"),IF(OR(K568="",M568="",P568=""),"Needs result/evidence/build","Recorded"),"Needs valid status"))))</x:f>
        <x:v>Pending</x:v>
      </x:c>
    </x:row>
    <x:row r="569" ht="52" customHeight="1">
      <x:c r="A569" s="10" t="str">
        <x:v>QA-0565</x:v>
      </x:c>
      <x:c r="B569" s="10" t="str">
        <x:v>U. Portal UX</x:v>
      </x:c>
      <x:c r="C569" s="10" t="str">
        <x:v>Responsive appearance: /admin/workspaces/reports</x:v>
      </x:c>
      <x:c r="D569" s="10" t="str">
        <x:v>/admin/workspaces/reports</x:v>
      </x:c>
      <x:c r="E569" s="10" t="str">
        <x:v>Intended permitted role</x:v>
      </x:c>
      <x:c r="F569" s="10" t="str">
        <x:v>P2</x:v>
      </x:c>
      <x:c r="G569" s="10" t="str">
        <x:v>Live read-only + isolated failure states</x:v>
      </x:c>
      <x:c r="H569" s="10" t="str">
        <x:v>Record deployed build. Use assigned test accounts, synthetic data and approved fixtures/recipients only.</x:v>
      </x:c>
      <x:c r="I569" s="10" t="str">
        <x:v>Cover these sections individually: Dataset / dates / filters / preview / presets / CSV-XLSX export. Inspect desktop 1440, tablet 768, phone 390 and narrow 320 widths, zoom 200%, long text and supported themes.</x:v>
      </x:c>
      <x:c r="J569" s="10" t="str">
        <x:v>Readable consistent logo/type/spacing/colour/tables; no page overflow, clipped controls or lost information.</x:v>
      </x:c>
      <x:c r="K569" s="11" t="str"/>
      <x:c r="L569" s="11" t="str">
        <x:v>Not run</x:v>
      </x:c>
      <x:c r="M569" s="11" t="str"/>
      <x:c r="N569" s="11" t="str"/>
      <x:c r="O569" s="11" t="str"/>
      <x:c r="P569" s="11" t="str"/>
      <x:c r="Q569" s="11" t="str"/>
      <x:c r="R569" s="11" t="str"/>
      <x:c r="S569" s="10" t="str">
        <x:v>Screenshots per viewport/state + keyboard notes</x:v>
      </x:c>
      <x:c r="T569" s="10" t="str">
        <x:v>Approved testing plan</x:v>
      </x:c>
      <x:c r="U569" s="10" t="str">
        <x:v>Reconcile tagged fixtures; archive/withdraw only owned test publications. Preserve audit/financial history.</x:v>
      </x:c>
      <x:c r="V569" s="12" t="str">
        <x:f>IF(A569="","",IF(L569="Not run","Pending",IF(OR(L569="Blocked",L569="Not deployed",L569="Not applicable"),IF(OR(K569="",R569=""),"Needs explanation","Recorded"),IF(OR(L569="Pass",L569="Fail"),IF(OR(K569="",M569="",P569=""),"Needs result/evidence/build","Recorded"),"Needs valid status"))))</x:f>
        <x:v>Pending</x:v>
      </x:c>
    </x:row>
    <x:row r="570" ht="52" customHeight="1">
      <x:c r="A570" s="10" t="str">
        <x:v>QA-0566</x:v>
      </x:c>
      <x:c r="B570" s="10" t="str">
        <x:v>U. Portal UX</x:v>
      </x:c>
      <x:c r="C570" s="10" t="str">
        <x:v>Keyboard and dialogs: /admin/workspaces/reports</x:v>
      </x:c>
      <x:c r="D570" s="10" t="str">
        <x:v>/admin/workspaces/reports</x:v>
      </x:c>
      <x:c r="E570" s="10" t="str">
        <x:v>Intended permitted role</x:v>
      </x:c>
      <x:c r="F570" s="10" t="str">
        <x:v>P2</x:v>
      </x:c>
      <x:c r="G570" s="10" t="str">
        <x:v>Live read-only + isolated failure states</x:v>
      </x:c>
      <x:c r="H570" s="10" t="str">
        <x:v>Record deployed build. Use assigned test accounts, synthetic data and approved fixtures/recipients only.</x:v>
      </x:c>
      <x:c r="I570" s="10" t="str">
        <x:v>Cover these sections individually: Dataset / dates / filters / preview / presets / CSV-XLSX export. Traverse every tab/control/dialog with keyboard. Check focus, Escape, focus return, labels and table scrolling.</x:v>
      </x:c>
      <x:c r="J570" s="10" t="str">
        <x:v>Visible logical focus and meaningful accessible names; dialogs usable without mouse.</x:v>
      </x:c>
      <x:c r="K570" s="11" t="str"/>
      <x:c r="L570" s="11" t="str">
        <x:v>Not run</x:v>
      </x:c>
      <x:c r="M570" s="11" t="str"/>
      <x:c r="N570" s="11" t="str"/>
      <x:c r="O570" s="11" t="str"/>
      <x:c r="P570" s="11" t="str"/>
      <x:c r="Q570" s="11" t="str"/>
      <x:c r="R570" s="11" t="str"/>
      <x:c r="S570" s="10" t="str">
        <x:v>Screenshots per viewport/state + keyboard notes</x:v>
      </x:c>
      <x:c r="T570" s="10" t="str">
        <x:v>Approved testing plan</x:v>
      </x:c>
      <x:c r="U570" s="10" t="str">
        <x:v>Reconcile tagged fixtures; archive/withdraw only owned test publications. Preserve audit/financial history.</x:v>
      </x:c>
      <x:c r="V570" s="12" t="str">
        <x:f>IF(A570="","",IF(L570="Not run","Pending",IF(OR(L570="Blocked",L570="Not deployed",L570="Not applicable"),IF(OR(K570="",R570=""),"Needs explanation","Recorded"),IF(OR(L570="Pass",L570="Fail"),IF(OR(K570="",M570="",P570=""),"Needs result/evidence/build","Recorded"),"Needs valid status"))))</x:f>
        <x:v>Pending</x:v>
      </x:c>
    </x:row>
    <x:row r="571" ht="52" customHeight="1">
      <x:c r="A571" s="10" t="str">
        <x:v>QA-0567</x:v>
      </x:c>
      <x:c r="B571" s="10" t="str">
        <x:v>U. Portal UX</x:v>
      </x:c>
      <x:c r="C571" s="10" t="str">
        <x:v>State and feedback: /admin/workspaces/reports</x:v>
      </x:c>
      <x:c r="D571" s="10" t="str">
        <x:v>/admin/workspaces/reports</x:v>
      </x:c>
      <x:c r="E571" s="10" t="str">
        <x:v>Intended permitted role</x:v>
      </x:c>
      <x:c r="F571" s="10" t="str">
        <x:v>P2</x:v>
      </x:c>
      <x:c r="G571" s="10" t="str">
        <x:v>Isolated only</x:v>
      </x:c>
      <x:c r="H571" s="10" t="str">
        <x:v>Record deployed build. Use assigned test accounts, synthetic data and approved fixtures/recipients only.</x:v>
      </x:c>
      <x:c r="I571" s="10" t="str">
        <x:v>Cover these sections individually: Dataset / dates / filters / preview / presets / CSV-XLSX export. Inspect available loading/empty/error/success/disabled/validation states. Use isolated fixtures for induced failure or empty data.</x:v>
      </x:c>
      <x:c r="J571" s="10" t="str">
        <x:v>States accurate, readable and actionable; input retained after failure and no false success.</x:v>
      </x:c>
      <x:c r="K571" s="11" t="str"/>
      <x:c r="L571" s="11" t="str">
        <x:v>Not run</x:v>
      </x:c>
      <x:c r="M571" s="11" t="str"/>
      <x:c r="N571" s="11" t="str"/>
      <x:c r="O571" s="11" t="str"/>
      <x:c r="P571" s="11" t="str"/>
      <x:c r="Q571" s="11" t="str"/>
      <x:c r="R571" s="11" t="str"/>
      <x:c r="S571" s="10" t="str">
        <x:v>Screenshots per viewport/state + keyboard notes</x:v>
      </x:c>
      <x:c r="T571" s="10" t="str">
        <x:v>Approved testing plan</x:v>
      </x:c>
      <x:c r="U571" s="10" t="str">
        <x:v>Reconcile tagged fixtures; archive/withdraw only owned test publications. Preserve audit/financial history.</x:v>
      </x:c>
      <x:c r="V571" s="12" t="str">
        <x:f>IF(A571="","",IF(L571="Not run","Pending",IF(OR(L571="Blocked",L571="Not deployed",L571="Not applicable"),IF(OR(K571="",R571=""),"Needs explanation","Recorded"),IF(OR(L571="Pass",L571="Fail"),IF(OR(K571="",M571="",P571=""),"Needs result/evidence/build","Recorded"),"Needs valid status"))))</x:f>
        <x:v>Pending</x:v>
      </x:c>
    </x:row>
    <x:row r="572" ht="52" customHeight="1">
      <x:c r="A572" s="10" t="str">
        <x:v>QA-0568</x:v>
      </x:c>
      <x:c r="B572" s="10" t="str">
        <x:v>U. Portal UX</x:v>
      </x:c>
      <x:c r="C572" s="10" t="str">
        <x:v>Responsive appearance: /admin/workspaces/access</x:v>
      </x:c>
      <x:c r="D572" s="10" t="str">
        <x:v>/admin/workspaces/access</x:v>
      </x:c>
      <x:c r="E572" s="10" t="str">
        <x:v>Intended permitted role</x:v>
      </x:c>
      <x:c r="F572" s="10" t="str">
        <x:v>P2</x:v>
      </x:c>
      <x:c r="G572" s="10" t="str">
        <x:v>Live read-only + isolated failure states</x:v>
      </x:c>
      <x:c r="H572" s="10" t="str">
        <x:v>Record deployed build. Use assigned test accounts, synthetic data and approved fixtures/recipients only.</x:v>
      </x:c>
      <x:c r="I572" s="10" t="str">
        <x:v>Cover these sections individually: Account search / roles / grant-revoke / history. Inspect desktop 1440, tablet 768, phone 390 and narrow 320 widths, zoom 200%, long text and supported themes.</x:v>
      </x:c>
      <x:c r="J572" s="10" t="str">
        <x:v>Readable consistent logo/type/spacing/colour/tables; no page overflow, clipped controls or lost information.</x:v>
      </x:c>
      <x:c r="K572" s="11" t="str"/>
      <x:c r="L572" s="11" t="str">
        <x:v>Not run</x:v>
      </x:c>
      <x:c r="M572" s="11" t="str"/>
      <x:c r="N572" s="11" t="str"/>
      <x:c r="O572" s="11" t="str"/>
      <x:c r="P572" s="11" t="str"/>
      <x:c r="Q572" s="11" t="str"/>
      <x:c r="R572" s="11" t="str"/>
      <x:c r="S572" s="10" t="str">
        <x:v>Screenshots per viewport/state + keyboard notes</x:v>
      </x:c>
      <x:c r="T572" s="10" t="str">
        <x:v>Approved testing plan</x:v>
      </x:c>
      <x:c r="U572" s="10" t="str">
        <x:v>Reconcile tagged fixtures; archive/withdraw only owned test publications. Preserve audit/financial history.</x:v>
      </x:c>
      <x:c r="V572" s="12" t="str">
        <x:f>IF(A572="","",IF(L572="Not run","Pending",IF(OR(L572="Blocked",L572="Not deployed",L572="Not applicable"),IF(OR(K572="",R572=""),"Needs explanation","Recorded"),IF(OR(L572="Pass",L572="Fail"),IF(OR(K572="",M572="",P572=""),"Needs result/evidence/build","Recorded"),"Needs valid status"))))</x:f>
        <x:v>Pending</x:v>
      </x:c>
    </x:row>
    <x:row r="573" ht="52" customHeight="1">
      <x:c r="A573" s="10" t="str">
        <x:v>QA-0569</x:v>
      </x:c>
      <x:c r="B573" s="10" t="str">
        <x:v>U. Portal UX</x:v>
      </x:c>
      <x:c r="C573" s="10" t="str">
        <x:v>Keyboard and dialogs: /admin/workspaces/access</x:v>
      </x:c>
      <x:c r="D573" s="10" t="str">
        <x:v>/admin/workspaces/access</x:v>
      </x:c>
      <x:c r="E573" s="10" t="str">
        <x:v>Intended permitted role</x:v>
      </x:c>
      <x:c r="F573" s="10" t="str">
        <x:v>P2</x:v>
      </x:c>
      <x:c r="G573" s="10" t="str">
        <x:v>Live read-only + isolated failure states</x:v>
      </x:c>
      <x:c r="H573" s="10" t="str">
        <x:v>Record deployed build. Use assigned test accounts, synthetic data and approved fixtures/recipients only.</x:v>
      </x:c>
      <x:c r="I573" s="10" t="str">
        <x:v>Cover these sections individually: Account search / roles / grant-revoke / history. Traverse every tab/control/dialog with keyboard. Check focus, Escape, focus return, labels and table scrolling.</x:v>
      </x:c>
      <x:c r="J573" s="10" t="str">
        <x:v>Visible logical focus and meaningful accessible names; dialogs usable without mouse.</x:v>
      </x:c>
      <x:c r="K573" s="11" t="str"/>
      <x:c r="L573" s="11" t="str">
        <x:v>Not run</x:v>
      </x:c>
      <x:c r="M573" s="11" t="str"/>
      <x:c r="N573" s="11" t="str"/>
      <x:c r="O573" s="11" t="str"/>
      <x:c r="P573" s="11" t="str"/>
      <x:c r="Q573" s="11" t="str"/>
      <x:c r="R573" s="11" t="str"/>
      <x:c r="S573" s="10" t="str">
        <x:v>Screenshots per viewport/state + keyboard notes</x:v>
      </x:c>
      <x:c r="T573" s="10" t="str">
        <x:v>Approved testing plan</x:v>
      </x:c>
      <x:c r="U573" s="10" t="str">
        <x:v>Reconcile tagged fixtures; archive/withdraw only owned test publications. Preserve audit/financial history.</x:v>
      </x:c>
      <x:c r="V573" s="12" t="str">
        <x:f>IF(A573="","",IF(L573="Not run","Pending",IF(OR(L573="Blocked",L573="Not deployed",L573="Not applicable"),IF(OR(K573="",R573=""),"Needs explanation","Recorded"),IF(OR(L573="Pass",L573="Fail"),IF(OR(K573="",M573="",P573=""),"Needs result/evidence/build","Recorded"),"Needs valid status"))))</x:f>
        <x:v>Pending</x:v>
      </x:c>
    </x:row>
    <x:row r="574" ht="52" customHeight="1">
      <x:c r="A574" s="10" t="str">
        <x:v>QA-0570</x:v>
      </x:c>
      <x:c r="B574" s="10" t="str">
        <x:v>U. Portal UX</x:v>
      </x:c>
      <x:c r="C574" s="10" t="str">
        <x:v>State and feedback: /admin/workspaces/access</x:v>
      </x:c>
      <x:c r="D574" s="10" t="str">
        <x:v>/admin/workspaces/access</x:v>
      </x:c>
      <x:c r="E574" s="10" t="str">
        <x:v>Intended permitted role</x:v>
      </x:c>
      <x:c r="F574" s="10" t="str">
        <x:v>P2</x:v>
      </x:c>
      <x:c r="G574" s="10" t="str">
        <x:v>Isolated only</x:v>
      </x:c>
      <x:c r="H574" s="10" t="str">
        <x:v>Record deployed build. Use assigned test accounts, synthetic data and approved fixtures/recipients only.</x:v>
      </x:c>
      <x:c r="I574" s="10" t="str">
        <x:v>Cover these sections individually: Account search / roles / grant-revoke / history. Inspect available loading/empty/error/success/disabled/validation states. Use isolated fixtures for induced failure or empty data.</x:v>
      </x:c>
      <x:c r="J574" s="10" t="str">
        <x:v>States accurate, readable and actionable; input retained after failure and no false success.</x:v>
      </x:c>
      <x:c r="K574" s="11" t="str"/>
      <x:c r="L574" s="11" t="str">
        <x:v>Not run</x:v>
      </x:c>
      <x:c r="M574" s="11" t="str"/>
      <x:c r="N574" s="11" t="str"/>
      <x:c r="O574" s="11" t="str"/>
      <x:c r="P574" s="11" t="str"/>
      <x:c r="Q574" s="11" t="str"/>
      <x:c r="R574" s="11" t="str"/>
      <x:c r="S574" s="10" t="str">
        <x:v>Screenshots per viewport/state + keyboard notes</x:v>
      </x:c>
      <x:c r="T574" s="10" t="str">
        <x:v>Approved testing plan</x:v>
      </x:c>
      <x:c r="U574" s="10" t="str">
        <x:v>Reconcile tagged fixtures; archive/withdraw only owned test publications. Preserve audit/financial history.</x:v>
      </x:c>
      <x:c r="V574" s="12" t="str">
        <x:f>IF(A574="","",IF(L574="Not run","Pending",IF(OR(L574="Blocked",L574="Not deployed",L574="Not applicable"),IF(OR(K574="",R574=""),"Needs explanation","Recorded"),IF(OR(L574="Pass",L574="Fail"),IF(OR(K574="",M574="",P574=""),"Needs result/evidence/build","Recorded"),"Needs valid status"))))</x:f>
        <x:v>Pending</x:v>
      </x:c>
    </x:row>
    <x:row r="575" ht="52" customHeight="1">
      <x:c r="A575" s="10" t="str">
        <x:v>QA-0571</x:v>
      </x:c>
      <x:c r="B575" s="10" t="str">
        <x:v>U. Portal UX</x:v>
      </x:c>
      <x:c r="C575" s="10" t="str">
        <x:v>Responsive appearance: /member</x:v>
      </x:c>
      <x:c r="D575" s="10" t="str">
        <x:v>/member</x:v>
      </x:c>
      <x:c r="E575" s="10" t="str">
        <x:v>Intended permitted role</x:v>
      </x:c>
      <x:c r="F575" s="10" t="str">
        <x:v>P2</x:v>
      </x:c>
      <x:c r="G575" s="10" t="str">
        <x:v>Live read-only + isolated failure states</x:v>
      </x:c>
      <x:c r="H575" s="10" t="str">
        <x:v>Record deployed build. Use assigned test accounts, synthetic data and approved fixtures/recipients only.</x:v>
      </x:c>
      <x:c r="I575" s="10" t="str">
        <x:v>Cover these sections individually: Dashboard / status / next actions / event journey. Inspect desktop 1440, tablet 768, phone 390 and narrow 320 widths, zoom 200%, long text and supported themes.</x:v>
      </x:c>
      <x:c r="J575" s="10" t="str">
        <x:v>Readable consistent logo/type/spacing/colour/tables; no page overflow, clipped controls or lost information.</x:v>
      </x:c>
      <x:c r="K575" s="11" t="str"/>
      <x:c r="L575" s="11" t="str">
        <x:v>Not run</x:v>
      </x:c>
      <x:c r="M575" s="11" t="str"/>
      <x:c r="N575" s="11" t="str"/>
      <x:c r="O575" s="11" t="str"/>
      <x:c r="P575" s="11" t="str"/>
      <x:c r="Q575" s="11" t="str"/>
      <x:c r="R575" s="11" t="str"/>
      <x:c r="S575" s="10" t="str">
        <x:v>Screenshots per viewport/state + keyboard notes</x:v>
      </x:c>
      <x:c r="T575" s="10" t="str">
        <x:v>Approved testing plan</x:v>
      </x:c>
      <x:c r="U575" s="10" t="str">
        <x:v>Reconcile tagged fixtures; archive/withdraw only owned test publications. Preserve audit/financial history.</x:v>
      </x:c>
      <x:c r="V575" s="12" t="str">
        <x:f>IF(A575="","",IF(L575="Not run","Pending",IF(OR(L575="Blocked",L575="Not deployed",L575="Not applicable"),IF(OR(K575="",R575=""),"Needs explanation","Recorded"),IF(OR(L575="Pass",L575="Fail"),IF(OR(K575="",M575="",P575=""),"Needs result/evidence/build","Recorded"),"Needs valid status"))))</x:f>
        <x:v>Pending</x:v>
      </x:c>
    </x:row>
    <x:row r="576" ht="52" customHeight="1">
      <x:c r="A576" s="10" t="str">
        <x:v>QA-0572</x:v>
      </x:c>
      <x:c r="B576" s="10" t="str">
        <x:v>U. Portal UX</x:v>
      </x:c>
      <x:c r="C576" s="10" t="str">
        <x:v>Keyboard and dialogs: /member</x:v>
      </x:c>
      <x:c r="D576" s="10" t="str">
        <x:v>/member</x:v>
      </x:c>
      <x:c r="E576" s="10" t="str">
        <x:v>Intended permitted role</x:v>
      </x:c>
      <x:c r="F576" s="10" t="str">
        <x:v>P2</x:v>
      </x:c>
      <x:c r="G576" s="10" t="str">
        <x:v>Live read-only + isolated failure states</x:v>
      </x:c>
      <x:c r="H576" s="10" t="str">
        <x:v>Record deployed build. Use assigned test accounts, synthetic data and approved fixtures/recipients only.</x:v>
      </x:c>
      <x:c r="I576" s="10" t="str">
        <x:v>Cover these sections individually: Dashboard / status / next actions / event journey. Traverse every tab/control/dialog with keyboard. Check focus, Escape, focus return, labels and table scrolling.</x:v>
      </x:c>
      <x:c r="J576" s="10" t="str">
        <x:v>Visible logical focus and meaningful accessible names; dialogs usable without mouse.</x:v>
      </x:c>
      <x:c r="K576" s="11" t="str"/>
      <x:c r="L576" s="11" t="str">
        <x:v>Not run</x:v>
      </x:c>
      <x:c r="M576" s="11" t="str"/>
      <x:c r="N576" s="11" t="str"/>
      <x:c r="O576" s="11" t="str"/>
      <x:c r="P576" s="11" t="str"/>
      <x:c r="Q576" s="11" t="str"/>
      <x:c r="R576" s="11" t="str"/>
      <x:c r="S576" s="10" t="str">
        <x:v>Screenshots per viewport/state + keyboard notes</x:v>
      </x:c>
      <x:c r="T576" s="10" t="str">
        <x:v>Approved testing plan</x:v>
      </x:c>
      <x:c r="U576" s="10" t="str">
        <x:v>Reconcile tagged fixtures; archive/withdraw only owned test publications. Preserve audit/financial history.</x:v>
      </x:c>
      <x:c r="V576" s="12" t="str">
        <x:f>IF(A576="","",IF(L576="Not run","Pending",IF(OR(L576="Blocked",L576="Not deployed",L576="Not applicable"),IF(OR(K576="",R576=""),"Needs explanation","Recorded"),IF(OR(L576="Pass",L576="Fail"),IF(OR(K576="",M576="",P576=""),"Needs result/evidence/build","Recorded"),"Needs valid status"))))</x:f>
        <x:v>Pending</x:v>
      </x:c>
    </x:row>
    <x:row r="577" ht="52" customHeight="1">
      <x:c r="A577" s="10" t="str">
        <x:v>QA-0573</x:v>
      </x:c>
      <x:c r="B577" s="10" t="str">
        <x:v>U. Portal UX</x:v>
      </x:c>
      <x:c r="C577" s="10" t="str">
        <x:v>State and feedback: /member</x:v>
      </x:c>
      <x:c r="D577" s="10" t="str">
        <x:v>/member</x:v>
      </x:c>
      <x:c r="E577" s="10" t="str">
        <x:v>Intended permitted role</x:v>
      </x:c>
      <x:c r="F577" s="10" t="str">
        <x:v>P2</x:v>
      </x:c>
      <x:c r="G577" s="10" t="str">
        <x:v>Isolated only</x:v>
      </x:c>
      <x:c r="H577" s="10" t="str">
        <x:v>Record deployed build. Use assigned test accounts, synthetic data and approved fixtures/recipients only.</x:v>
      </x:c>
      <x:c r="I577" s="10" t="str">
        <x:v>Cover these sections individually: Dashboard / status / next actions / event journey. Inspect available loading/empty/error/success/disabled/validation states. Use isolated fixtures for induced failure or empty data.</x:v>
      </x:c>
      <x:c r="J577" s="10" t="str">
        <x:v>States accurate, readable and actionable; input retained after failure and no false success.</x:v>
      </x:c>
      <x:c r="K577" s="11" t="str"/>
      <x:c r="L577" s="11" t="str">
        <x:v>Not run</x:v>
      </x:c>
      <x:c r="M577" s="11" t="str"/>
      <x:c r="N577" s="11" t="str"/>
      <x:c r="O577" s="11" t="str"/>
      <x:c r="P577" s="11" t="str"/>
      <x:c r="Q577" s="11" t="str"/>
      <x:c r="R577" s="11" t="str"/>
      <x:c r="S577" s="10" t="str">
        <x:v>Screenshots per viewport/state + keyboard notes</x:v>
      </x:c>
      <x:c r="T577" s="10" t="str">
        <x:v>Approved testing plan</x:v>
      </x:c>
      <x:c r="U577" s="10" t="str">
        <x:v>Reconcile tagged fixtures; archive/withdraw only owned test publications. Preserve audit/financial history.</x:v>
      </x:c>
      <x:c r="V577" s="12" t="str">
        <x:f>IF(A577="","",IF(L577="Not run","Pending",IF(OR(L577="Blocked",L577="Not deployed",L577="Not applicable"),IF(OR(K577="",R577=""),"Needs explanation","Recorded"),IF(OR(L577="Pass",L577="Fail"),IF(OR(K577="",M577="",P577=""),"Needs result/evidence/build","Recorded"),"Needs valid status"))))</x:f>
        <x:v>Pending</x:v>
      </x:c>
    </x:row>
    <x:row r="578" ht="52" customHeight="1">
      <x:c r="A578" s="10" t="str">
        <x:v>QA-0574</x:v>
      </x:c>
      <x:c r="B578" s="10" t="str">
        <x:v>U. Portal UX</x:v>
      </x:c>
      <x:c r="C578" s="10" t="str">
        <x:v>Responsive appearance: /member/application</x:v>
      </x:c>
      <x:c r="D578" s="10" t="str">
        <x:v>/member/application</x:v>
      </x:c>
      <x:c r="E578" s="10" t="str">
        <x:v>Intended permitted role</x:v>
      </x:c>
      <x:c r="F578" s="10" t="str">
        <x:v>P2</x:v>
      </x:c>
      <x:c r="G578" s="10" t="str">
        <x:v>Live read-only + isolated failure states</x:v>
      </x:c>
      <x:c r="H578" s="10" t="str">
        <x:v>Record deployed build. Use assigned test accounts, synthetic data and approved fixtures/recipients only.</x:v>
      </x:c>
      <x:c r="I578" s="10" t="str">
        <x:v>Cover these sections individually: Every application step / review summary / save / evidence / submission. Inspect desktop 1440, tablet 768, phone 390 and narrow 320 widths, zoom 200%, long text and supported themes.</x:v>
      </x:c>
      <x:c r="J578" s="10" t="str">
        <x:v>Readable consistent logo/type/spacing/colour/tables; no page overflow, clipped controls or lost information.</x:v>
      </x:c>
      <x:c r="K578" s="11" t="str"/>
      <x:c r="L578" s="11" t="str">
        <x:v>Not run</x:v>
      </x:c>
      <x:c r="M578" s="11" t="str"/>
      <x:c r="N578" s="11" t="str"/>
      <x:c r="O578" s="11" t="str"/>
      <x:c r="P578" s="11" t="str"/>
      <x:c r="Q578" s="11" t="str"/>
      <x:c r="R578" s="11" t="str"/>
      <x:c r="S578" s="10" t="str">
        <x:v>Screenshots per viewport/state + keyboard notes</x:v>
      </x:c>
      <x:c r="T578" s="10" t="str">
        <x:v>Approved testing plan</x:v>
      </x:c>
      <x:c r="U578" s="10" t="str">
        <x:v>Reconcile tagged fixtures; archive/withdraw only owned test publications. Preserve audit/financial history.</x:v>
      </x:c>
      <x:c r="V578" s="12" t="str">
        <x:f>IF(A578="","",IF(L578="Not run","Pending",IF(OR(L578="Blocked",L578="Not deployed",L578="Not applicable"),IF(OR(K578="",R578=""),"Needs explanation","Recorded"),IF(OR(L578="Pass",L578="Fail"),IF(OR(K578="",M578="",P578=""),"Needs result/evidence/build","Recorded"),"Needs valid status"))))</x:f>
        <x:v>Pending</x:v>
      </x:c>
    </x:row>
    <x:row r="579" ht="52" customHeight="1">
      <x:c r="A579" s="10" t="str">
        <x:v>QA-0575</x:v>
      </x:c>
      <x:c r="B579" s="10" t="str">
        <x:v>U. Portal UX</x:v>
      </x:c>
      <x:c r="C579" s="10" t="str">
        <x:v>Keyboard and dialogs: /member/application</x:v>
      </x:c>
      <x:c r="D579" s="10" t="str">
        <x:v>/member/application</x:v>
      </x:c>
      <x:c r="E579" s="10" t="str">
        <x:v>Intended permitted role</x:v>
      </x:c>
      <x:c r="F579" s="10" t="str">
        <x:v>P2</x:v>
      </x:c>
      <x:c r="G579" s="10" t="str">
        <x:v>Live read-only + isolated failure states</x:v>
      </x:c>
      <x:c r="H579" s="10" t="str">
        <x:v>Record deployed build. Use assigned test accounts, synthetic data and approved fixtures/recipients only.</x:v>
      </x:c>
      <x:c r="I579" s="10" t="str">
        <x:v>Cover these sections individually: Every application step / review summary / save / evidence / submission. Traverse every tab/control/dialog with keyboard. Check focus, Escape, focus return, labels and table scrolling.</x:v>
      </x:c>
      <x:c r="J579" s="10" t="str">
        <x:v>Visible logical focus and meaningful accessible names; dialogs usable without mouse.</x:v>
      </x:c>
      <x:c r="K579" s="11" t="str"/>
      <x:c r="L579" s="11" t="str">
        <x:v>Not run</x:v>
      </x:c>
      <x:c r="M579" s="11" t="str"/>
      <x:c r="N579" s="11" t="str"/>
      <x:c r="O579" s="11" t="str"/>
      <x:c r="P579" s="11" t="str"/>
      <x:c r="Q579" s="11" t="str"/>
      <x:c r="R579" s="11" t="str"/>
      <x:c r="S579" s="10" t="str">
        <x:v>Screenshots per viewport/state + keyboard notes</x:v>
      </x:c>
      <x:c r="T579" s="10" t="str">
        <x:v>Approved testing plan</x:v>
      </x:c>
      <x:c r="U579" s="10" t="str">
        <x:v>Reconcile tagged fixtures; archive/withdraw only owned test publications. Preserve audit/financial history.</x:v>
      </x:c>
      <x:c r="V579" s="12" t="str">
        <x:f>IF(A579="","",IF(L579="Not run","Pending",IF(OR(L579="Blocked",L579="Not deployed",L579="Not applicable"),IF(OR(K579="",R579=""),"Needs explanation","Recorded"),IF(OR(L579="Pass",L579="Fail"),IF(OR(K579="",M579="",P579=""),"Needs result/evidence/build","Recorded"),"Needs valid status"))))</x:f>
        <x:v>Pending</x:v>
      </x:c>
    </x:row>
    <x:row r="580" ht="52" customHeight="1">
      <x:c r="A580" s="10" t="str">
        <x:v>QA-0576</x:v>
      </x:c>
      <x:c r="B580" s="10" t="str">
        <x:v>U. Portal UX</x:v>
      </x:c>
      <x:c r="C580" s="10" t="str">
        <x:v>State and feedback: /member/application</x:v>
      </x:c>
      <x:c r="D580" s="10" t="str">
        <x:v>/member/application</x:v>
      </x:c>
      <x:c r="E580" s="10" t="str">
        <x:v>Intended permitted role</x:v>
      </x:c>
      <x:c r="F580" s="10" t="str">
        <x:v>P2</x:v>
      </x:c>
      <x:c r="G580" s="10" t="str">
        <x:v>Isolated only</x:v>
      </x:c>
      <x:c r="H580" s="10" t="str">
        <x:v>Record deployed build. Use assigned test accounts, synthetic data and approved fixtures/recipients only.</x:v>
      </x:c>
      <x:c r="I580" s="10" t="str">
        <x:v>Cover these sections individually: Every application step / review summary / save / evidence / submission. Inspect available loading/empty/error/success/disabled/validation states. Use isolated fixtures for induced failure or empty data.</x:v>
      </x:c>
      <x:c r="J580" s="10" t="str">
        <x:v>States accurate, readable and actionable; input retained after failure and no false success.</x:v>
      </x:c>
      <x:c r="K580" s="11" t="str"/>
      <x:c r="L580" s="11" t="str">
        <x:v>Not run</x:v>
      </x:c>
      <x:c r="M580" s="11" t="str"/>
      <x:c r="N580" s="11" t="str"/>
      <x:c r="O580" s="11" t="str"/>
      <x:c r="P580" s="11" t="str"/>
      <x:c r="Q580" s="11" t="str"/>
      <x:c r="R580" s="11" t="str"/>
      <x:c r="S580" s="10" t="str">
        <x:v>Screenshots per viewport/state + keyboard notes</x:v>
      </x:c>
      <x:c r="T580" s="10" t="str">
        <x:v>Approved testing plan</x:v>
      </x:c>
      <x:c r="U580" s="10" t="str">
        <x:v>Reconcile tagged fixtures; archive/withdraw only owned test publications. Preserve audit/financial history.</x:v>
      </x:c>
      <x:c r="V580" s="12" t="str">
        <x:f>IF(A580="","",IF(L580="Not run","Pending",IF(OR(L580="Blocked",L580="Not deployed",L580="Not applicable"),IF(OR(K580="",R580=""),"Needs explanation","Recorded"),IF(OR(L580="Pass",L580="Fail"),IF(OR(K580="",M580="",P580=""),"Needs result/evidence/build","Recorded"),"Needs valid status"))))</x:f>
        <x:v>Pending</x:v>
      </x:c>
    </x:row>
    <x:row r="581" ht="52" customHeight="1">
      <x:c r="A581" s="10" t="str">
        <x:v>QA-0577</x:v>
      </x:c>
      <x:c r="B581" s="10" t="str">
        <x:v>U. Portal UX</x:v>
      </x:c>
      <x:c r="C581" s="10" t="str">
        <x:v>Responsive appearance: /member/events</x:v>
      </x:c>
      <x:c r="D581" s="10" t="str">
        <x:v>/member/events</x:v>
      </x:c>
      <x:c r="E581" s="10" t="str">
        <x:v>Intended permitted role</x:v>
      </x:c>
      <x:c r="F581" s="10" t="str">
        <x:v>P2</x:v>
      </x:c>
      <x:c r="G581" s="10" t="str">
        <x:v>Live read-only + isolated failure states</x:v>
      </x:c>
      <x:c r="H581" s="10" t="str">
        <x:v>Record deployed build. Use assigned test accounts, synthetic data and approved fixtures/recipients only.</x:v>
      </x:c>
      <x:c r="I581" s="10" t="str">
        <x:v>Cover these sections individually: Upcoming-past / selected booking / payment reference / resources / attendance / perks. Inspect desktop 1440, tablet 768, phone 390 and narrow 320 widths, zoom 200%, long text and supported themes.</x:v>
      </x:c>
      <x:c r="J581" s="10" t="str">
        <x:v>Readable consistent logo/type/spacing/colour/tables; no page overflow, clipped controls or lost information.</x:v>
      </x:c>
      <x:c r="K581" s="11" t="str"/>
      <x:c r="L581" s="11" t="str">
        <x:v>Not run</x:v>
      </x:c>
      <x:c r="M581" s="11" t="str"/>
      <x:c r="N581" s="11" t="str"/>
      <x:c r="O581" s="11" t="str"/>
      <x:c r="P581" s="11" t="str"/>
      <x:c r="Q581" s="11" t="str"/>
      <x:c r="R581" s="11" t="str"/>
      <x:c r="S581" s="10" t="str">
        <x:v>Screenshots per viewport/state + keyboard notes</x:v>
      </x:c>
      <x:c r="T581" s="10" t="str">
        <x:v>Approved testing plan</x:v>
      </x:c>
      <x:c r="U581" s="10" t="str">
        <x:v>Reconcile tagged fixtures; archive/withdraw only owned test publications. Preserve audit/financial history.</x:v>
      </x:c>
      <x:c r="V581" s="12" t="str">
        <x:f>IF(A581="","",IF(L581="Not run","Pending",IF(OR(L581="Blocked",L581="Not deployed",L581="Not applicable"),IF(OR(K581="",R581=""),"Needs explanation","Recorded"),IF(OR(L581="Pass",L581="Fail"),IF(OR(K581="",M581="",P581=""),"Needs result/evidence/build","Recorded"),"Needs valid status"))))</x:f>
        <x:v>Pending</x:v>
      </x:c>
    </x:row>
    <x:row r="582" ht="52" customHeight="1">
      <x:c r="A582" s="10" t="str">
        <x:v>QA-0578</x:v>
      </x:c>
      <x:c r="B582" s="10" t="str">
        <x:v>U. Portal UX</x:v>
      </x:c>
      <x:c r="C582" s="10" t="str">
        <x:v>Keyboard and dialogs: /member/events</x:v>
      </x:c>
      <x:c r="D582" s="10" t="str">
        <x:v>/member/events</x:v>
      </x:c>
      <x:c r="E582" s="10" t="str">
        <x:v>Intended permitted role</x:v>
      </x:c>
      <x:c r="F582" s="10" t="str">
        <x:v>P2</x:v>
      </x:c>
      <x:c r="G582" s="10" t="str">
        <x:v>Live read-only + isolated failure states</x:v>
      </x:c>
      <x:c r="H582" s="10" t="str">
        <x:v>Record deployed build. Use assigned test accounts, synthetic data and approved fixtures/recipients only.</x:v>
      </x:c>
      <x:c r="I582" s="10" t="str">
        <x:v>Cover these sections individually: Upcoming-past / selected booking / payment reference / resources / attendance / perks. Traverse every tab/control/dialog with keyboard. Check focus, Escape, focus return, labels and table scrolling.</x:v>
      </x:c>
      <x:c r="J582" s="10" t="str">
        <x:v>Visible logical focus and meaningful accessible names; dialogs usable without mouse.</x:v>
      </x:c>
      <x:c r="K582" s="11" t="str"/>
      <x:c r="L582" s="11" t="str">
        <x:v>Not run</x:v>
      </x:c>
      <x:c r="M582" s="11" t="str"/>
      <x:c r="N582" s="11" t="str"/>
      <x:c r="O582" s="11" t="str"/>
      <x:c r="P582" s="11" t="str"/>
      <x:c r="Q582" s="11" t="str"/>
      <x:c r="R582" s="11" t="str"/>
      <x:c r="S582" s="10" t="str">
        <x:v>Screenshots per viewport/state + keyboard notes</x:v>
      </x:c>
      <x:c r="T582" s="10" t="str">
        <x:v>Approved testing plan</x:v>
      </x:c>
      <x:c r="U582" s="10" t="str">
        <x:v>Reconcile tagged fixtures; archive/withdraw only owned test publications. Preserve audit/financial history.</x:v>
      </x:c>
      <x:c r="V582" s="12" t="str">
        <x:f>IF(A582="","",IF(L582="Not run","Pending",IF(OR(L582="Blocked",L582="Not deployed",L582="Not applicable"),IF(OR(K582="",R582=""),"Needs explanation","Recorded"),IF(OR(L582="Pass",L582="Fail"),IF(OR(K582="",M582="",P582=""),"Needs result/evidence/build","Recorded"),"Needs valid status"))))</x:f>
        <x:v>Pending</x:v>
      </x:c>
    </x:row>
    <x:row r="583" ht="52" customHeight="1">
      <x:c r="A583" s="10" t="str">
        <x:v>QA-0579</x:v>
      </x:c>
      <x:c r="B583" s="10" t="str">
        <x:v>U. Portal UX</x:v>
      </x:c>
      <x:c r="C583" s="10" t="str">
        <x:v>State and feedback: /member/events</x:v>
      </x:c>
      <x:c r="D583" s="10" t="str">
        <x:v>/member/events</x:v>
      </x:c>
      <x:c r="E583" s="10" t="str">
        <x:v>Intended permitted role</x:v>
      </x:c>
      <x:c r="F583" s="10" t="str">
        <x:v>P2</x:v>
      </x:c>
      <x:c r="G583" s="10" t="str">
        <x:v>Isolated only</x:v>
      </x:c>
      <x:c r="H583" s="10" t="str">
        <x:v>Record deployed build. Use assigned test accounts, synthetic data and approved fixtures/recipients only.</x:v>
      </x:c>
      <x:c r="I583" s="10" t="str">
        <x:v>Cover these sections individually: Upcoming-past / selected booking / payment reference / resources / attendance / perks. Inspect available loading/empty/error/success/disabled/validation states. Use isolated fixtures for induced failure or empty data.</x:v>
      </x:c>
      <x:c r="J583" s="10" t="str">
        <x:v>States accurate, readable and actionable; input retained after failure and no false success.</x:v>
      </x:c>
      <x:c r="K583" s="11" t="str"/>
      <x:c r="L583" s="11" t="str">
        <x:v>Not run</x:v>
      </x:c>
      <x:c r="M583" s="11" t="str"/>
      <x:c r="N583" s="11" t="str"/>
      <x:c r="O583" s="11" t="str"/>
      <x:c r="P583" s="11" t="str"/>
      <x:c r="Q583" s="11" t="str"/>
      <x:c r="R583" s="11" t="str"/>
      <x:c r="S583" s="10" t="str">
        <x:v>Screenshots per viewport/state + keyboard notes</x:v>
      </x:c>
      <x:c r="T583" s="10" t="str">
        <x:v>Approved testing plan</x:v>
      </x:c>
      <x:c r="U583" s="10" t="str">
        <x:v>Reconcile tagged fixtures; archive/withdraw only owned test publications. Preserve audit/financial history.</x:v>
      </x:c>
      <x:c r="V583" s="12" t="str">
        <x:f>IF(A583="","",IF(L583="Not run","Pending",IF(OR(L583="Blocked",L583="Not deployed",L583="Not applicable"),IF(OR(K583="",R583=""),"Needs explanation","Recorded"),IF(OR(L583="Pass",L583="Fail"),IF(OR(K583="",M583="",P583=""),"Needs result/evidence/build","Recorded"),"Needs valid status"))))</x:f>
        <x:v>Pending</x:v>
      </x:c>
    </x:row>
    <x:row r="584" ht="52" customHeight="1">
      <x:c r="A584" s="10" t="str">
        <x:v>QA-0580</x:v>
      </x:c>
      <x:c r="B584" s="10" t="str">
        <x:v>U. Portal UX</x:v>
      </x:c>
      <x:c r="C584" s="10" t="str">
        <x:v>Responsive appearance: /member/payments</x:v>
      </x:c>
      <x:c r="D584" s="10" t="str">
        <x:v>/member/payments</x:v>
      </x:c>
      <x:c r="E584" s="10" t="str">
        <x:v>Intended permitted role</x:v>
      </x:c>
      <x:c r="F584" s="10" t="str">
        <x:v>P2</x:v>
      </x:c>
      <x:c r="G584" s="10" t="str">
        <x:v>Live read-only + isolated failure states</x:v>
      </x:c>
      <x:c r="H584" s="10" t="str">
        <x:v>Record deployed build. Use assigned test accounts, synthetic data and approved fixtures/recipients only.</x:v>
      </x:c>
      <x:c r="I584" s="10" t="str">
        <x:v>Cover these sections individually: Payment instructions / own payment states / booking references. Inspect desktop 1440, tablet 768, phone 390 and narrow 320 widths, zoom 200%, long text and supported themes.</x:v>
      </x:c>
      <x:c r="J584" s="10" t="str">
        <x:v>Readable consistent logo/type/spacing/colour/tables; no page overflow, clipped controls or lost information.</x:v>
      </x:c>
      <x:c r="K584" s="11" t="str"/>
      <x:c r="L584" s="11" t="str">
        <x:v>Not run</x:v>
      </x:c>
      <x:c r="M584" s="11" t="str"/>
      <x:c r="N584" s="11" t="str"/>
      <x:c r="O584" s="11" t="str"/>
      <x:c r="P584" s="11" t="str"/>
      <x:c r="Q584" s="11" t="str"/>
      <x:c r="R584" s="11" t="str"/>
      <x:c r="S584" s="10" t="str">
        <x:v>Screenshots per viewport/state + keyboard notes</x:v>
      </x:c>
      <x:c r="T584" s="10" t="str">
        <x:v>Approved testing plan</x:v>
      </x:c>
      <x:c r="U584" s="10" t="str">
        <x:v>Reconcile tagged fixtures; archive/withdraw only owned test publications. Preserve audit/financial history.</x:v>
      </x:c>
      <x:c r="V584" s="12" t="str">
        <x:f>IF(A584="","",IF(L584="Not run","Pending",IF(OR(L584="Blocked",L584="Not deployed",L584="Not applicable"),IF(OR(K584="",R584=""),"Needs explanation","Recorded"),IF(OR(L584="Pass",L584="Fail"),IF(OR(K584="",M584="",P584=""),"Needs result/evidence/build","Recorded"),"Needs valid status"))))</x:f>
        <x:v>Pending</x:v>
      </x:c>
    </x:row>
    <x:row r="585" ht="52" customHeight="1">
      <x:c r="A585" s="10" t="str">
        <x:v>QA-0581</x:v>
      </x:c>
      <x:c r="B585" s="10" t="str">
        <x:v>U. Portal UX</x:v>
      </x:c>
      <x:c r="C585" s="10" t="str">
        <x:v>Keyboard and dialogs: /member/payments</x:v>
      </x:c>
      <x:c r="D585" s="10" t="str">
        <x:v>/member/payments</x:v>
      </x:c>
      <x:c r="E585" s="10" t="str">
        <x:v>Intended permitted role</x:v>
      </x:c>
      <x:c r="F585" s="10" t="str">
        <x:v>P2</x:v>
      </x:c>
      <x:c r="G585" s="10" t="str">
        <x:v>Live read-only + isolated failure states</x:v>
      </x:c>
      <x:c r="H585" s="10" t="str">
        <x:v>Record deployed build. Use assigned test accounts, synthetic data and approved fixtures/recipients only.</x:v>
      </x:c>
      <x:c r="I585" s="10" t="str">
        <x:v>Cover these sections individually: Payment instructions / own payment states / booking references. Traverse every tab/control/dialog with keyboard. Check focus, Escape, focus return, labels and table scrolling.</x:v>
      </x:c>
      <x:c r="J585" s="10" t="str">
        <x:v>Visible logical focus and meaningful accessible names; dialogs usable without mouse.</x:v>
      </x:c>
      <x:c r="K585" s="11" t="str"/>
      <x:c r="L585" s="11" t="str">
        <x:v>Not run</x:v>
      </x:c>
      <x:c r="M585" s="11" t="str"/>
      <x:c r="N585" s="11" t="str"/>
      <x:c r="O585" s="11" t="str"/>
      <x:c r="P585" s="11" t="str"/>
      <x:c r="Q585" s="11" t="str"/>
      <x:c r="R585" s="11" t="str"/>
      <x:c r="S585" s="10" t="str">
        <x:v>Screenshots per viewport/state + keyboard notes</x:v>
      </x:c>
      <x:c r="T585" s="10" t="str">
        <x:v>Approved testing plan</x:v>
      </x:c>
      <x:c r="U585" s="10" t="str">
        <x:v>Reconcile tagged fixtures; archive/withdraw only owned test publications. Preserve audit/financial history.</x:v>
      </x:c>
      <x:c r="V585" s="12" t="str">
        <x:f>IF(A585="","",IF(L585="Not run","Pending",IF(OR(L585="Blocked",L585="Not deployed",L585="Not applicable"),IF(OR(K585="",R585=""),"Needs explanation","Recorded"),IF(OR(L585="Pass",L585="Fail"),IF(OR(K585="",M585="",P585=""),"Needs result/evidence/build","Recorded"),"Needs valid status"))))</x:f>
        <x:v>Pending</x:v>
      </x:c>
    </x:row>
    <x:row r="586" ht="52" customHeight="1">
      <x:c r="A586" s="10" t="str">
        <x:v>QA-0582</x:v>
      </x:c>
      <x:c r="B586" s="10" t="str">
        <x:v>U. Portal UX</x:v>
      </x:c>
      <x:c r="C586" s="10" t="str">
        <x:v>State and feedback: /member/payments</x:v>
      </x:c>
      <x:c r="D586" s="10" t="str">
        <x:v>/member/payments</x:v>
      </x:c>
      <x:c r="E586" s="10" t="str">
        <x:v>Intended permitted role</x:v>
      </x:c>
      <x:c r="F586" s="10" t="str">
        <x:v>P2</x:v>
      </x:c>
      <x:c r="G586" s="10" t="str">
        <x:v>Isolated only</x:v>
      </x:c>
      <x:c r="H586" s="10" t="str">
        <x:v>Record deployed build. Use assigned test accounts, synthetic data and approved fixtures/recipients only.</x:v>
      </x:c>
      <x:c r="I586" s="10" t="str">
        <x:v>Cover these sections individually: Payment instructions / own payment states / booking references. Inspect available loading/empty/error/success/disabled/validation states. Use isolated fixtures for induced failure or empty data.</x:v>
      </x:c>
      <x:c r="J586" s="10" t="str">
        <x:v>States accurate, readable and actionable; input retained after failure and no false success.</x:v>
      </x:c>
      <x:c r="K586" s="11" t="str"/>
      <x:c r="L586" s="11" t="str">
        <x:v>Not run</x:v>
      </x:c>
      <x:c r="M586" s="11" t="str"/>
      <x:c r="N586" s="11" t="str"/>
      <x:c r="O586" s="11" t="str"/>
      <x:c r="P586" s="11" t="str"/>
      <x:c r="Q586" s="11" t="str"/>
      <x:c r="R586" s="11" t="str"/>
      <x:c r="S586" s="10" t="str">
        <x:v>Screenshots per viewport/state + keyboard notes</x:v>
      </x:c>
      <x:c r="T586" s="10" t="str">
        <x:v>Approved testing plan</x:v>
      </x:c>
      <x:c r="U586" s="10" t="str">
        <x:v>Reconcile tagged fixtures; archive/withdraw only owned test publications. Preserve audit/financial history.</x:v>
      </x:c>
      <x:c r="V586" s="12" t="str">
        <x:f>IF(A586="","",IF(L586="Not run","Pending",IF(OR(L586="Blocked",L586="Not deployed",L586="Not applicable"),IF(OR(K586="",R586=""),"Needs explanation","Recorded"),IF(OR(L586="Pass",L586="Fail"),IF(OR(K586="",M586="",P586=""),"Needs result/evidence/build","Recorded"),"Needs valid status"))))</x:f>
        <x:v>Pending</x:v>
      </x:c>
    </x:row>
    <x:row r="587" ht="52" customHeight="1">
      <x:c r="A587" s="10" t="str">
        <x:v>QA-0583</x:v>
      </x:c>
      <x:c r="B587" s="10" t="str">
        <x:v>U. Portal UX</x:v>
      </x:c>
      <x:c r="C587" s="10" t="str">
        <x:v>Responsive appearance: /member/inquiries</x:v>
      </x:c>
      <x:c r="D587" s="10" t="str">
        <x:v>/member/inquiries</x:v>
      </x:c>
      <x:c r="E587" s="10" t="str">
        <x:v>Intended permitted role</x:v>
      </x:c>
      <x:c r="F587" s="10" t="str">
        <x:v>P2</x:v>
      </x:c>
      <x:c r="G587" s="10" t="str">
        <x:v>Live read-only + isolated failure states</x:v>
      </x:c>
      <x:c r="H587" s="10" t="str">
        <x:v>Record deployed build. Use assigned test accounts, synthetic data and approved fixtures/recipients only.</x:v>
      </x:c>
      <x:c r="I587" s="10" t="str">
        <x:v>Cover these sections individually: Own list / inquiry creation / details. Inspect desktop 1440, tablet 768, phone 390 and narrow 320 widths, zoom 200%, long text and supported themes.</x:v>
      </x:c>
      <x:c r="J587" s="10" t="str">
        <x:v>Readable consistent logo/type/spacing/colour/tables; no page overflow, clipped controls or lost information.</x:v>
      </x:c>
      <x:c r="K587" s="11" t="str"/>
      <x:c r="L587" s="11" t="str">
        <x:v>Not run</x:v>
      </x:c>
      <x:c r="M587" s="11" t="str"/>
      <x:c r="N587" s="11" t="str"/>
      <x:c r="O587" s="11" t="str"/>
      <x:c r="P587" s="11" t="str"/>
      <x:c r="Q587" s="11" t="str"/>
      <x:c r="R587" s="11" t="str"/>
      <x:c r="S587" s="10" t="str">
        <x:v>Screenshots per viewport/state + keyboard notes</x:v>
      </x:c>
      <x:c r="T587" s="10" t="str">
        <x:v>Approved testing plan</x:v>
      </x:c>
      <x:c r="U587" s="10" t="str">
        <x:v>Reconcile tagged fixtures; archive/withdraw only owned test publications. Preserve audit/financial history.</x:v>
      </x:c>
      <x:c r="V587" s="12" t="str">
        <x:f>IF(A587="","",IF(L587="Not run","Pending",IF(OR(L587="Blocked",L587="Not deployed",L587="Not applicable"),IF(OR(K587="",R587=""),"Needs explanation","Recorded"),IF(OR(L587="Pass",L587="Fail"),IF(OR(K587="",M587="",P587=""),"Needs result/evidence/build","Recorded"),"Needs valid status"))))</x:f>
        <x:v>Pending</x:v>
      </x:c>
    </x:row>
    <x:row r="588" ht="52" customHeight="1">
      <x:c r="A588" s="10" t="str">
        <x:v>QA-0584</x:v>
      </x:c>
      <x:c r="B588" s="10" t="str">
        <x:v>U. Portal UX</x:v>
      </x:c>
      <x:c r="C588" s="10" t="str">
        <x:v>Keyboard and dialogs: /member/inquiries</x:v>
      </x:c>
      <x:c r="D588" s="10" t="str">
        <x:v>/member/inquiries</x:v>
      </x:c>
      <x:c r="E588" s="10" t="str">
        <x:v>Intended permitted role</x:v>
      </x:c>
      <x:c r="F588" s="10" t="str">
        <x:v>P2</x:v>
      </x:c>
      <x:c r="G588" s="10" t="str">
        <x:v>Live read-only + isolated failure states</x:v>
      </x:c>
      <x:c r="H588" s="10" t="str">
        <x:v>Record deployed build. Use assigned test accounts, synthetic data and approved fixtures/recipients only.</x:v>
      </x:c>
      <x:c r="I588" s="10" t="str">
        <x:v>Cover these sections individually: Own list / inquiry creation / details. Traverse every tab/control/dialog with keyboard. Check focus, Escape, focus return, labels and table scrolling.</x:v>
      </x:c>
      <x:c r="J588" s="10" t="str">
        <x:v>Visible logical focus and meaningful accessible names; dialogs usable without mouse.</x:v>
      </x:c>
      <x:c r="K588" s="11" t="str"/>
      <x:c r="L588" s="11" t="str">
        <x:v>Not run</x:v>
      </x:c>
      <x:c r="M588" s="11" t="str"/>
      <x:c r="N588" s="11" t="str"/>
      <x:c r="O588" s="11" t="str"/>
      <x:c r="P588" s="11" t="str"/>
      <x:c r="Q588" s="11" t="str"/>
      <x:c r="R588" s="11" t="str"/>
      <x:c r="S588" s="10" t="str">
        <x:v>Screenshots per viewport/state + keyboard notes</x:v>
      </x:c>
      <x:c r="T588" s="10" t="str">
        <x:v>Approved testing plan</x:v>
      </x:c>
      <x:c r="U588" s="10" t="str">
        <x:v>Reconcile tagged fixtures; archive/withdraw only owned test publications. Preserve audit/financial history.</x:v>
      </x:c>
      <x:c r="V588" s="12" t="str">
        <x:f>IF(A588="","",IF(L588="Not run","Pending",IF(OR(L588="Blocked",L588="Not deployed",L588="Not applicable"),IF(OR(K588="",R588=""),"Needs explanation","Recorded"),IF(OR(L588="Pass",L588="Fail"),IF(OR(K588="",M588="",P588=""),"Needs result/evidence/build","Recorded"),"Needs valid status"))))</x:f>
        <x:v>Pending</x:v>
      </x:c>
    </x:row>
    <x:row r="589" ht="52" customHeight="1">
      <x:c r="A589" s="10" t="str">
        <x:v>QA-0585</x:v>
      </x:c>
      <x:c r="B589" s="10" t="str">
        <x:v>U. Portal UX</x:v>
      </x:c>
      <x:c r="C589" s="10" t="str">
        <x:v>State and feedback: /member/inquiries</x:v>
      </x:c>
      <x:c r="D589" s="10" t="str">
        <x:v>/member/inquiries</x:v>
      </x:c>
      <x:c r="E589" s="10" t="str">
        <x:v>Intended permitted role</x:v>
      </x:c>
      <x:c r="F589" s="10" t="str">
        <x:v>P2</x:v>
      </x:c>
      <x:c r="G589" s="10" t="str">
        <x:v>Isolated only</x:v>
      </x:c>
      <x:c r="H589" s="10" t="str">
        <x:v>Record deployed build. Use assigned test accounts, synthetic data and approved fixtures/recipients only.</x:v>
      </x:c>
      <x:c r="I589" s="10" t="str">
        <x:v>Cover these sections individually: Own list / inquiry creation / details. Inspect available loading/empty/error/success/disabled/validation states. Use isolated fixtures for induced failure or empty data.</x:v>
      </x:c>
      <x:c r="J589" s="10" t="str">
        <x:v>States accurate, readable and actionable; input retained after failure and no false success.</x:v>
      </x:c>
      <x:c r="K589" s="11" t="str"/>
      <x:c r="L589" s="11" t="str">
        <x:v>Not run</x:v>
      </x:c>
      <x:c r="M589" s="11" t="str"/>
      <x:c r="N589" s="11" t="str"/>
      <x:c r="O589" s="11" t="str"/>
      <x:c r="P589" s="11" t="str"/>
      <x:c r="Q589" s="11" t="str"/>
      <x:c r="R589" s="11" t="str"/>
      <x:c r="S589" s="10" t="str">
        <x:v>Screenshots per viewport/state + keyboard notes</x:v>
      </x:c>
      <x:c r="T589" s="10" t="str">
        <x:v>Approved testing plan</x:v>
      </x:c>
      <x:c r="U589" s="10" t="str">
        <x:v>Reconcile tagged fixtures; archive/withdraw only owned test publications. Preserve audit/financial history.</x:v>
      </x:c>
      <x:c r="V589" s="12" t="str">
        <x:f>IF(A589="","",IF(L589="Not run","Pending",IF(OR(L589="Blocked",L589="Not deployed",L589="Not applicable"),IF(OR(K589="",R589=""),"Needs explanation","Recorded"),IF(OR(L589="Pass",L589="Fail"),IF(OR(K589="",M589="",P589=""),"Needs result/evidence/build","Recorded"),"Needs valid status"))))</x:f>
        <x:v>Pending</x:v>
      </x:c>
    </x:row>
    <x:row r="590" ht="52" customHeight="1">
      <x:c r="A590" s="10" t="str">
        <x:v>QA-0586</x:v>
      </x:c>
      <x:c r="B590" s="10" t="str">
        <x:v>U. Portal UX</x:v>
      </x:c>
      <x:c r="C590" s="10" t="str">
        <x:v>Responsive appearance: /member/security</x:v>
      </x:c>
      <x:c r="D590" s="10" t="str">
        <x:v>/member/security</x:v>
      </x:c>
      <x:c r="E590" s="10" t="str">
        <x:v>Intended permitted role</x:v>
      </x:c>
      <x:c r="F590" s="10" t="str">
        <x:v>P2</x:v>
      </x:c>
      <x:c r="G590" s="10" t="str">
        <x:v>Live read-only + isolated failure states</x:v>
      </x:c>
      <x:c r="H590" s="10" t="str">
        <x:v>Record deployed build. Use assigned test accounts, synthetic data and approved fixtures/recipients only.</x:v>
      </x:c>
      <x:c r="I590" s="10" t="str">
        <x:v>Cover these sections individually: Password / session behavior. Inspect desktop 1440, tablet 768, phone 390 and narrow 320 widths, zoom 200%, long text and supported themes.</x:v>
      </x:c>
      <x:c r="J590" s="10" t="str">
        <x:v>Readable consistent logo/type/spacing/colour/tables; no page overflow, clipped controls or lost information.</x:v>
      </x:c>
      <x:c r="K590" s="11" t="str"/>
      <x:c r="L590" s="11" t="str">
        <x:v>Not run</x:v>
      </x:c>
      <x:c r="M590" s="11" t="str"/>
      <x:c r="N590" s="11" t="str"/>
      <x:c r="O590" s="11" t="str"/>
      <x:c r="P590" s="11" t="str"/>
      <x:c r="Q590" s="11" t="str"/>
      <x:c r="R590" s="11" t="str"/>
      <x:c r="S590" s="10" t="str">
        <x:v>Screenshots per viewport/state + keyboard notes</x:v>
      </x:c>
      <x:c r="T590" s="10" t="str">
        <x:v>Approved testing plan</x:v>
      </x:c>
      <x:c r="U590" s="10" t="str">
        <x:v>Reconcile tagged fixtures; archive/withdraw only owned test publications. Preserve audit/financial history.</x:v>
      </x:c>
      <x:c r="V590" s="12" t="str">
        <x:f>IF(A590="","",IF(L590="Not run","Pending",IF(OR(L590="Blocked",L590="Not deployed",L590="Not applicable"),IF(OR(K590="",R590=""),"Needs explanation","Recorded"),IF(OR(L590="Pass",L590="Fail"),IF(OR(K590="",M590="",P590=""),"Needs result/evidence/build","Recorded"),"Needs valid status"))))</x:f>
        <x:v>Pending</x:v>
      </x:c>
    </x:row>
    <x:row r="591" ht="52" customHeight="1">
      <x:c r="A591" s="10" t="str">
        <x:v>QA-0587</x:v>
      </x:c>
      <x:c r="B591" s="10" t="str">
        <x:v>U. Portal UX</x:v>
      </x:c>
      <x:c r="C591" s="10" t="str">
        <x:v>Keyboard and dialogs: /member/security</x:v>
      </x:c>
      <x:c r="D591" s="10" t="str">
        <x:v>/member/security</x:v>
      </x:c>
      <x:c r="E591" s="10" t="str">
        <x:v>Intended permitted role</x:v>
      </x:c>
      <x:c r="F591" s="10" t="str">
        <x:v>P2</x:v>
      </x:c>
      <x:c r="G591" s="10" t="str">
        <x:v>Live read-only + isolated failure states</x:v>
      </x:c>
      <x:c r="H591" s="10" t="str">
        <x:v>Record deployed build. Use assigned test accounts, synthetic data and approved fixtures/recipients only.</x:v>
      </x:c>
      <x:c r="I591" s="10" t="str">
        <x:v>Cover these sections individually: Password / session behavior. Traverse every tab/control/dialog with keyboard. Check focus, Escape, focus return, labels and table scrolling.</x:v>
      </x:c>
      <x:c r="J591" s="10" t="str">
        <x:v>Visible logical focus and meaningful accessible names; dialogs usable without mouse.</x:v>
      </x:c>
      <x:c r="K591" s="11" t="str"/>
      <x:c r="L591" s="11" t="str">
        <x:v>Not run</x:v>
      </x:c>
      <x:c r="M591" s="11" t="str"/>
      <x:c r="N591" s="11" t="str"/>
      <x:c r="O591" s="11" t="str"/>
      <x:c r="P591" s="11" t="str"/>
      <x:c r="Q591" s="11" t="str"/>
      <x:c r="R591" s="11" t="str"/>
      <x:c r="S591" s="10" t="str">
        <x:v>Screenshots per viewport/state + keyboard notes</x:v>
      </x:c>
      <x:c r="T591" s="10" t="str">
        <x:v>Approved testing plan</x:v>
      </x:c>
      <x:c r="U591" s="10" t="str">
        <x:v>Reconcile tagged fixtures; archive/withdraw only owned test publications. Preserve audit/financial history.</x:v>
      </x:c>
      <x:c r="V591" s="12" t="str">
        <x:f>IF(A591="","",IF(L591="Not run","Pending",IF(OR(L591="Blocked",L591="Not deployed",L591="Not applicable"),IF(OR(K591="",R591=""),"Needs explanation","Recorded"),IF(OR(L591="Pass",L591="Fail"),IF(OR(K591="",M591="",P591=""),"Needs result/evidence/build","Recorded"),"Needs valid status"))))</x:f>
        <x:v>Pending</x:v>
      </x:c>
    </x:row>
    <x:row r="592" ht="52" customHeight="1">
      <x:c r="A592" s="10" t="str">
        <x:v>QA-0588</x:v>
      </x:c>
      <x:c r="B592" s="10" t="str">
        <x:v>U. Portal UX</x:v>
      </x:c>
      <x:c r="C592" s="10" t="str">
        <x:v>State and feedback: /member/security</x:v>
      </x:c>
      <x:c r="D592" s="10" t="str">
        <x:v>/member/security</x:v>
      </x:c>
      <x:c r="E592" s="10" t="str">
        <x:v>Intended permitted role</x:v>
      </x:c>
      <x:c r="F592" s="10" t="str">
        <x:v>P2</x:v>
      </x:c>
      <x:c r="G592" s="10" t="str">
        <x:v>Isolated only</x:v>
      </x:c>
      <x:c r="H592" s="10" t="str">
        <x:v>Record deployed build. Use assigned test accounts, synthetic data and approved fixtures/recipients only.</x:v>
      </x:c>
      <x:c r="I592" s="10" t="str">
        <x:v>Cover these sections individually: Password / session behavior. Inspect available loading/empty/error/success/disabled/validation states. Use isolated fixtures for induced failure or empty data.</x:v>
      </x:c>
      <x:c r="J592" s="10" t="str">
        <x:v>States accurate, readable and actionable; input retained after failure and no false success.</x:v>
      </x:c>
      <x:c r="K592" s="11" t="str"/>
      <x:c r="L592" s="11" t="str">
        <x:v>Not run</x:v>
      </x:c>
      <x:c r="M592" s="11" t="str"/>
      <x:c r="N592" s="11" t="str"/>
      <x:c r="O592" s="11" t="str"/>
      <x:c r="P592" s="11" t="str"/>
      <x:c r="Q592" s="11" t="str"/>
      <x:c r="R592" s="11" t="str"/>
      <x:c r="S592" s="10" t="str">
        <x:v>Screenshots per viewport/state + keyboard notes</x:v>
      </x:c>
      <x:c r="T592" s="10" t="str">
        <x:v>Approved testing plan</x:v>
      </x:c>
      <x:c r="U592" s="10" t="str">
        <x:v>Reconcile tagged fixtures; archive/withdraw only owned test publications. Preserve audit/financial history.</x:v>
      </x:c>
      <x:c r="V592" s="12" t="str">
        <x:f>IF(A592="","",IF(L592="Not run","Pending",IF(OR(L592="Blocked",L592="Not deployed",L592="Not applicable"),IF(OR(K592="",R592=""),"Needs explanation","Recorded"),IF(OR(L592="Pass",L592="Fail"),IF(OR(K592="",M592="",P592=""),"Needs result/evidence/build","Recorded"),"Needs valid status"))))</x:f>
        <x:v>Pending</x:v>
      </x:c>
    </x:row>
    <x:row r="593" ht="52" customHeight="1">
      <x:c r="A593" s="10" t="str">
        <x:v>QA-0589</x:v>
      </x:c>
      <x:c r="B593" s="10" t="str">
        <x:v>U. Portal UX</x:v>
      </x:c>
      <x:c r="C593" s="10" t="str">
        <x:v>Responsive appearance: /account/profile</x:v>
      </x:c>
      <x:c r="D593" s="10" t="str">
        <x:v>/account/profile</x:v>
      </x:c>
      <x:c r="E593" s="10" t="str">
        <x:v>Intended permitted role</x:v>
      </x:c>
      <x:c r="F593" s="10" t="str">
        <x:v>P2</x:v>
      </x:c>
      <x:c r="G593" s="10" t="str">
        <x:v>Live read-only + isolated failure states</x:v>
      </x:c>
      <x:c r="H593" s="10" t="str">
        <x:v>Record deployed build. Use assigned test accounts, synthetic data and approved fixtures/recipients only.</x:v>
      </x:c>
      <x:c r="I593" s="10" t="str">
        <x:v>Cover these sections individually: Own accepted/proposed details / photo / preferences. Inspect desktop 1440, tablet 768, phone 390 and narrow 320 widths, zoom 200%, long text and supported themes.</x:v>
      </x:c>
      <x:c r="J593" s="10" t="str">
        <x:v>Readable consistent logo/type/spacing/colour/tables; no page overflow, clipped controls or lost information.</x:v>
      </x:c>
      <x:c r="K593" s="11" t="str"/>
      <x:c r="L593" s="11" t="str">
        <x:v>Not run</x:v>
      </x:c>
      <x:c r="M593" s="11" t="str"/>
      <x:c r="N593" s="11" t="str"/>
      <x:c r="O593" s="11" t="str"/>
      <x:c r="P593" s="11" t="str"/>
      <x:c r="Q593" s="11" t="str"/>
      <x:c r="R593" s="11" t="str"/>
      <x:c r="S593" s="10" t="str">
        <x:v>Screenshots per viewport/state + keyboard notes</x:v>
      </x:c>
      <x:c r="T593" s="10" t="str">
        <x:v>Approved testing plan</x:v>
      </x:c>
      <x:c r="U593" s="10" t="str">
        <x:v>Reconcile tagged fixtures; archive/withdraw only owned test publications. Preserve audit/financial history.</x:v>
      </x:c>
      <x:c r="V593" s="12" t="str">
        <x:f>IF(A593="","",IF(L593="Not run","Pending",IF(OR(L593="Blocked",L593="Not deployed",L593="Not applicable"),IF(OR(K593="",R593=""),"Needs explanation","Recorded"),IF(OR(L593="Pass",L593="Fail"),IF(OR(K593="",M593="",P593=""),"Needs result/evidence/build","Recorded"),"Needs valid status"))))</x:f>
        <x:v>Pending</x:v>
      </x:c>
    </x:row>
    <x:row r="594" ht="52" customHeight="1">
      <x:c r="A594" s="10" t="str">
        <x:v>QA-0590</x:v>
      </x:c>
      <x:c r="B594" s="10" t="str">
        <x:v>U. Portal UX</x:v>
      </x:c>
      <x:c r="C594" s="10" t="str">
        <x:v>Keyboard and dialogs: /account/profile</x:v>
      </x:c>
      <x:c r="D594" s="10" t="str">
        <x:v>/account/profile</x:v>
      </x:c>
      <x:c r="E594" s="10" t="str">
        <x:v>Intended permitted role</x:v>
      </x:c>
      <x:c r="F594" s="10" t="str">
        <x:v>P2</x:v>
      </x:c>
      <x:c r="G594" s="10" t="str">
        <x:v>Live read-only + isolated failure states</x:v>
      </x:c>
      <x:c r="H594" s="10" t="str">
        <x:v>Record deployed build. Use assigned test accounts, synthetic data and approved fixtures/recipients only.</x:v>
      </x:c>
      <x:c r="I594" s="10" t="str">
        <x:v>Cover these sections individually: Own accepted/proposed details / photo / preferences. Traverse every tab/control/dialog with keyboard. Check focus, Escape, focus return, labels and table scrolling.</x:v>
      </x:c>
      <x:c r="J594" s="10" t="str">
        <x:v>Visible logical focus and meaningful accessible names; dialogs usable without mouse.</x:v>
      </x:c>
      <x:c r="K594" s="11" t="str"/>
      <x:c r="L594" s="11" t="str">
        <x:v>Not run</x:v>
      </x:c>
      <x:c r="M594" s="11" t="str"/>
      <x:c r="N594" s="11" t="str"/>
      <x:c r="O594" s="11" t="str"/>
      <x:c r="P594" s="11" t="str"/>
      <x:c r="Q594" s="11" t="str"/>
      <x:c r="R594" s="11" t="str"/>
      <x:c r="S594" s="10" t="str">
        <x:v>Screenshots per viewport/state + keyboard notes</x:v>
      </x:c>
      <x:c r="T594" s="10" t="str">
        <x:v>Approved testing plan</x:v>
      </x:c>
      <x:c r="U594" s="10" t="str">
        <x:v>Reconcile tagged fixtures; archive/withdraw only owned test publications. Preserve audit/financial history.</x:v>
      </x:c>
      <x:c r="V594" s="12" t="str">
        <x:f>IF(A594="","",IF(L594="Not run","Pending",IF(OR(L594="Blocked",L594="Not deployed",L594="Not applicable"),IF(OR(K594="",R594=""),"Needs explanation","Recorded"),IF(OR(L594="Pass",L594="Fail"),IF(OR(K594="",M594="",P594=""),"Needs result/evidence/build","Recorded"),"Needs valid status"))))</x:f>
        <x:v>Pending</x:v>
      </x:c>
    </x:row>
    <x:row r="595" ht="52" customHeight="1">
      <x:c r="A595" s="10" t="str">
        <x:v>QA-0591</x:v>
      </x:c>
      <x:c r="B595" s="10" t="str">
        <x:v>U. Portal UX</x:v>
      </x:c>
      <x:c r="C595" s="10" t="str">
        <x:v>State and feedback: /account/profile</x:v>
      </x:c>
      <x:c r="D595" s="10" t="str">
        <x:v>/account/profile</x:v>
      </x:c>
      <x:c r="E595" s="10" t="str">
        <x:v>Intended permitted role</x:v>
      </x:c>
      <x:c r="F595" s="10" t="str">
        <x:v>P2</x:v>
      </x:c>
      <x:c r="G595" s="10" t="str">
        <x:v>Isolated only</x:v>
      </x:c>
      <x:c r="H595" s="10" t="str">
        <x:v>Record deployed build. Use assigned test accounts, synthetic data and approved fixtures/recipients only.</x:v>
      </x:c>
      <x:c r="I595" s="10" t="str">
        <x:v>Cover these sections individually: Own accepted/proposed details / photo / preferences. Inspect available loading/empty/error/success/disabled/validation states. Use isolated fixtures for induced failure or empty data.</x:v>
      </x:c>
      <x:c r="J595" s="10" t="str">
        <x:v>States accurate, readable and actionable; input retained after failure and no false success.</x:v>
      </x:c>
      <x:c r="K595" s="11" t="str"/>
      <x:c r="L595" s="11" t="str">
        <x:v>Not run</x:v>
      </x:c>
      <x:c r="M595" s="11" t="str"/>
      <x:c r="N595" s="11" t="str"/>
      <x:c r="O595" s="11" t="str"/>
      <x:c r="P595" s="11" t="str"/>
      <x:c r="Q595" s="11" t="str"/>
      <x:c r="R595" s="11" t="str"/>
      <x:c r="S595" s="10" t="str">
        <x:v>Screenshots per viewport/state + keyboard notes</x:v>
      </x:c>
      <x:c r="T595" s="10" t="str">
        <x:v>Approved testing plan</x:v>
      </x:c>
      <x:c r="U595" s="10" t="str">
        <x:v>Reconcile tagged fixtures; archive/withdraw only owned test publications. Preserve audit/financial history.</x:v>
      </x:c>
      <x:c r="V595" s="12" t="str">
        <x:f>IF(A595="","",IF(L595="Not run","Pending",IF(OR(L595="Blocked",L595="Not deployed",L595="Not applicable"),IF(OR(K595="",R595=""),"Needs explanation","Recorded"),IF(OR(L595="Pass",L595="Fail"),IF(OR(K595="",M595="",P595=""),"Needs result/evidence/build","Recorded"),"Needs valid status"))))</x:f>
        <x:v>Pending</x:v>
      </x:c>
    </x:row>
  </x:sheetData>
  <x:conditionalFormatting sqref="L5:L595">
    <x:cfRule type="cellIs" dxfId="0" priority="1" operator="equal">
      <x:formula>"Fail"</x:formula>
    </x:cfRule>
    <x:cfRule type="cellIs" dxfId="1" priority="2" operator="equal">
      <x:formula>"Blocked"</x:formula>
    </x:cfRule>
    <x:cfRule type="cellIs" dxfId="2" priority="3" operator="equal">
      <x:formula>"Not deployed"</x:formula>
    </x:cfRule>
    <x:cfRule type="cellIs" dxfId="3" priority="4" operator="equal">
      <x:formula>"Not applicable"</x:formula>
    </x:cfRule>
  </x:conditionalFormatting>
  <x:conditionalFormatting sqref="V5:V595">
    <x:cfRule type="beginsWith" dxfId="4" priority="5" operator="beginsWith" text="Needs"/>
  </x:conditionalFormatting>
  <x:dataValidations count="2">
    <x:dataValidation type="list" sqref="L5:L595">
      <x:formula1>"Not run,Pass,Fail,Blocked,Not deployed,Not applicable"</x:formula1>
    </x:dataValidation>
    <x:dataValidation type="list" sqref="F5:F59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b8256ac4c640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42" hidden="0" customWidth="1"/>
    <x:col min="3" max="3" width="34" hidden="0" customWidth="1"/>
    <x:col min="4" max="4" width="64" hidden="0" customWidth="1"/>
    <x:col min="5" max="5" width="100" hidden="0" customWidth="1"/>
    <x:col min="6" max="6" width="85" hidden="0" customWidth="1"/>
    <x:col min="7" max="7" width="40" hidden="0" customWidth="1"/>
    <x:col min="8" max="8" width="20" hidden="0" customWidth="1"/>
    <x:col min="9" max="9" width="65" hidden="0" customWidth="1"/>
    <x:col min="10" max="10" width="52" hidden="0" customWidth="1"/>
    <x:col min="11" max="11" width="35" hidden="0" customWidth="1"/>
    <x:col min="12" max="12" width="22" hidden="0" customWidth="1"/>
    <x:col min="13" max="13" width="38" hidden="0" customWidth="1"/>
    <x:col min="14" max="14" width="52" hidden="0" customWidth="1"/>
    <x:col min="15" max="15" width="58" hidden="0" customWidth="1"/>
    <x:col min="16" max="16" width="2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End-to-End Journeys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6" customHeight="1">
      <x:c r="A4" s="8" t="str">
        <x:v>ID</x:v>
      </x:c>
      <x:c r="B4" s="8" t="str">
        <x:v>Journey</x:v>
      </x:c>
      <x:c r="C4" s="8" t="str">
        <x:v>Environment</x:v>
      </x:c>
      <x:c r="D4" s="8" t="str">
        <x:v>Preconditions</x:v>
      </x:c>
      <x:c r="E4" s="8" t="str">
        <x:v>Complete steps</x:v>
      </x:c>
      <x:c r="F4" s="8" t="str">
        <x:v>Required outcome</x:v>
      </x:c>
      <x:c r="G4" s="8" t="str">
        <x:v>Linked case IDs</x:v>
      </x:c>
      <x:c r="H4" s="8" t="str">
        <x:v>Status</x:v>
      </x:c>
      <x:c r="I4" s="8" t="str">
        <x:v>Actual result</x:v>
      </x:c>
      <x:c r="J4" s="8" t="str">
        <x:v>Evidence links</x:v>
      </x:c>
      <x:c r="K4" s="8" t="str">
        <x:v>Related record IDs</x:v>
      </x:c>
      <x:c r="L4" s="8" t="str">
        <x:v>Defect IDs</x:v>
      </x:c>
      <x:c r="M4" s="8" t="str">
        <x:v>Tester / date / build</x:v>
      </x:c>
      <x:c r="N4" s="8" t="str">
        <x:v>Retest result</x:v>
      </x:c>
      <x:c r="O4" s="8" t="str">
        <x:v>Reason / exception</x:v>
      </x:c>
      <x:c r="P4" s="8" t="str">
        <x:v>Evidence check</x:v>
      </x:c>
    </x:row>
    <x:row r="5" ht="94" customHeight="1">
      <x:c r="A5" s="10" t="str">
        <x:v>E2E-01</x:v>
      </x:c>
      <x:c r="B5" s="10" t="str">
        <x:v>New member to reviewed profile</x:v>
      </x:c>
      <x:c r="C5" s="10" t="str">
        <x:v>Live - tagged fixture</x:v>
      </x:c>
      <x:c r="D5" s="10" t="str">
        <x:v>Owned QA fixtures; same build for all stages; approved recipients; ready roles and providers.</x:v>
      </x:c>
      <x:c r="E5" s="10" t="str">
        <x:v>Signup; receive verification in actual inbox; follow link; complete application/evidence; submit; reviewer requests correction; member resubmits; reviewer approves.</x:v>
      </x:c>
      <x:c r="F5" s="10" t="str">
        <x:v>Correct identity and saved evidence; explicit review history; email/profile/membership/payment/publication states remain separate.</x:v>
      </x:c>
      <x:c r="G5" s="10" t="str">
        <x:v>QA-0017 to QA-0070</x:v>
      </x:c>
      <x:c r="H5" s="11" t="str">
        <x:v>Not run</x:v>
      </x:c>
      <x:c r="I5" s="11" t="str"/>
      <x:c r="J5" s="11" t="str"/>
      <x:c r="K5" s="11" t="str"/>
      <x:c r="L5" s="11" t="str"/>
      <x:c r="M5" s="11" t="str"/>
      <x:c r="N5" s="11" t="str"/>
      <x:c r="O5" s="11" t="str"/>
      <x:c r="P5" s="12" t="str">
        <x:f>IF(A5="","",IF(H5="Not run","Pending",IF(OR(H5="Blocked",H5="Not deployed",H5="Not applicable"),IF(OR(I5="",O5=""),"Needs explanation","Recorded"),IF(OR(H5="Pass",H5="Fail"),IF(OR(I5="",J5="",M5=""),"Needs result/evidence/build","Recorded"),"Needs valid status"))))</x:f>
        <x:v>Pending</x:v>
      </x:c>
    </x:row>
    <x:row r="6" ht="94" customHeight="1">
      <x:c r="A6" s="10" t="str">
        <x:v>E2E-02</x:v>
      </x:c>
      <x:c r="B6" s="10" t="str">
        <x:v>Imported member activation</x:v>
      </x:c>
      <x:c r="C6" s="10" t="str">
        <x:v>Live - tagged fixture</x:v>
      </x:c>
      <x:c r="D6" s="10" t="str">
        <x:v>Owned QA fixtures; same build for all stages; approved recipients; ready roles and providers.</x:v>
      </x:c>
      <x:c r="E6" s="10" t="str">
        <x:v>Preview small QA batch; review commit; reconcile links and invitation holds; review exact QA recipient; approved release; inbox link; set password; fresh login.</x:v>
      </x:c>
      <x:c r="F6" s="10" t="str">
        <x:v>Only intended identities/jobs; no duplicate records or credential replacement; intended recipient only.</x:v>
      </x:c>
      <x:c r="G6" s="10" t="str">
        <x:v>QA-0017 to QA-0046; QA-0095 to QA-0108</x:v>
      </x:c>
      <x:c r="H6" s="11" t="str">
        <x:v>Not run</x:v>
      </x:c>
      <x:c r="I6" s="11" t="str"/>
      <x:c r="J6" s="11" t="str"/>
      <x:c r="K6" s="11" t="str"/>
      <x:c r="L6" s="11" t="str"/>
      <x:c r="M6" s="11" t="str"/>
      <x:c r="N6" s="11" t="str"/>
      <x:c r="O6" s="11" t="str"/>
      <x:c r="P6" s="12" t="str">
        <x:f>IF(A6="","",IF(H6="Not run","Pending",IF(OR(H6="Blocked",H6="Not deployed",H6="Not applicable"),IF(OR(I6="",O6=""),"Needs explanation","Recorded"),IF(OR(H6="Pass",H6="Fail"),IF(OR(I6="",J6="",M6=""),"Needs result/evidence/build","Recorded"),"Needs valid status"))))</x:f>
        <x:v>Pending</x:v>
      </x:c>
    </x:row>
    <x:row r="7" ht="94" customHeight="1">
      <x:c r="A7" s="10" t="str">
        <x:v>E2E-03</x:v>
      </x:c>
      <x:c r="B7" s="10" t="str">
        <x:v>Free event lifecycle</x:v>
      </x:c>
      <x:c r="C7" s="10" t="str">
        <x:v>Live - tagged fixture</x:v>
      </x:c>
      <x:c r="D7" s="10" t="str">
        <x:v>Owned QA fixtures; same build for all stages; approved recipients; ready roles and providers.</x:v>
      </x:c>
      <x:c r="E7" s="10" t="str">
        <x:v>Draft/publish free QA event; member registers; open confirmation inbox; mark attendance; finalize/complete after prerequisites; inspect member history.</x:v>
      </x:c>
      <x:c r="F7" s="10" t="str">
        <x:v>One booking, correct mail, evidenced attendance and accurate event history/badge.</x:v>
      </x:c>
      <x:c r="G7" s="10" t="str">
        <x:v>QA-0109 to QA-0127; QA-0145 to QA-0175</x:v>
      </x:c>
      <x:c r="H7" s="11" t="str">
        <x:v>Not run</x:v>
      </x:c>
      <x:c r="I7" s="11" t="str"/>
      <x:c r="J7" s="11" t="str"/>
      <x:c r="K7" s="11" t="str"/>
      <x:c r="L7" s="11" t="str"/>
      <x:c r="M7" s="11" t="str"/>
      <x:c r="N7" s="11" t="str"/>
      <x:c r="O7" s="11" t="str"/>
      <x:c r="P7" s="12" t="str">
        <x:f>IF(A7="","",IF(H7="Not run","Pending",IF(OR(H7="Blocked",H7="Not deployed",H7="Not applicable"),IF(OR(I7="",O7=""),"Needs explanation","Recorded"),IF(OR(H7="Pass",H7="Fail"),IF(OR(I7="",J7="",M7=""),"Needs result/evidence/build","Recorded"),"Needs valid status"))))</x:f>
        <x:v>Pending</x:v>
      </x:c>
    </x:row>
    <x:row r="8" ht="94" customHeight="1">
      <x:c r="A8" s="10" t="str">
        <x:v>E2E-04</x:v>
      </x:c>
      <x:c r="B8" s="10" t="str">
        <x:v>Paid event and confirmation</x:v>
      </x:c>
      <x:c r="C8" s="10" t="str">
        <x:v>Live - tagged fixture</x:v>
      </x:c>
      <x:c r="D8" s="10" t="str">
        <x:v>Owned QA fixtures; same build for all stages; approved recipients; ready roles and providers.</x:v>
      </x:c>
      <x:c r="E8" s="10" t="str">
        <x:v>Create paid QA event; publish; book; inspect instructions; submit synthetic reference; finance manually confirms tagged test booking; inspect inbox and member history.</x:v>
      </x:c>
      <x:c r="F8" s="10" t="str">
        <x:v>Correct fee/payee; no auto-paid state; one authorized transition and immutable history; no actual transfer required.</x:v>
      </x:c>
      <x:c r="G8" s="10" t="str">
        <x:v>QA-0109 to QA-0144; QA-0166 to QA-0175</x:v>
      </x:c>
      <x:c r="H8" s="11" t="str">
        <x:v>Not run</x:v>
      </x:c>
      <x:c r="I8" s="11" t="str"/>
      <x:c r="J8" s="11" t="str"/>
      <x:c r="K8" s="11" t="str"/>
      <x:c r="L8" s="11" t="str"/>
      <x:c r="M8" s="11" t="str"/>
      <x:c r="N8" s="11" t="str"/>
      <x:c r="O8" s="11" t="str"/>
      <x:c r="P8" s="12" t="str">
        <x:f>IF(A8="","",IF(H8="Not run","Pending",IF(OR(H8="Blocked",H8="Not deployed",H8="Not applicable"),IF(OR(I8="",O8=""),"Needs explanation","Recorded"),IF(OR(H8="Pass",H8="Fail"),IF(OR(I8="",J8="",M8=""),"Needs result/evidence/build","Recorded"),"Needs valid status"))))</x:f>
        <x:v>Pending</x:v>
      </x:c>
    </x:row>
    <x:row r="9" ht="94" customHeight="1">
      <x:c r="A9" s="10" t="str">
        <x:v>E2E-05</x:v>
      </x:c>
      <x:c r="B9" s="10" t="str">
        <x:v>Cancellation and recorded refund</x:v>
      </x:c>
      <x:c r="C9" s="10" t="str">
        <x:v>Live - tagged fixture</x:v>
      </x:c>
      <x:c r="D9" s="10" t="str">
        <x:v>Owned QA fixtures; same build for all stages; approved recipients; ready roles and providers.</x:v>
      </x:c>
      <x:c r="E9" s="10" t="str">
        <x:v>Cancel paid tagged booking; review refund need; authorized staff record synthetic refund; compare history and independently reconcile totals.</x:v>
      </x:c>
      <x:c r="F9" s="10" t="str">
        <x:v>Cancellation, recorded refund and external transfer remain distinct; receipt/refund history retained.</x:v>
      </x:c>
      <x:c r="G9" s="10" t="str">
        <x:v>QA-0128 to QA-0144</x:v>
      </x:c>
      <x:c r="H9" s="11" t="str">
        <x:v>Not run</x:v>
      </x:c>
      <x:c r="I9" s="11" t="str"/>
      <x:c r="J9" s="11" t="str"/>
      <x:c r="K9" s="11" t="str"/>
      <x:c r="L9" s="11" t="str"/>
      <x:c r="M9" s="11" t="str"/>
      <x:c r="N9" s="11" t="str"/>
      <x:c r="O9" s="11" t="str"/>
      <x:c r="P9" s="12" t="str">
        <x:f>IF(A9="","",IF(H9="Not run","Pending",IF(OR(H9="Blocked",H9="Not deployed",H9="Not applicable"),IF(OR(I9="",O9=""),"Needs explanation","Recorded"),IF(OR(H9="Pass",H9="Fail"),IF(OR(I9="",J9="",M9=""),"Needs result/evidence/build","Recorded"),"Needs valid status"))))</x:f>
        <x:v>Pending</x:v>
      </x:c>
    </x:row>
    <x:row r="10" ht="94" customHeight="1">
      <x:c r="A10" s="10" t="str">
        <x:v>E2E-06</x:v>
      </x:c>
      <x:c r="B10" s="10" t="str">
        <x:v>Reminder eligibility changes</x:v>
      </x:c>
      <x:c r="C10" s="10" t="str">
        <x:v>Isolated only</x:v>
      </x:c>
      <x:c r="D10" s="10" t="str">
        <x:v>Owned QA fixtures; same build for all stages; approved recipients; ready roles and providers.</x:v>
      </x:c>
      <x:c r="E10" s="10" t="str">
        <x:v>Configure offsets; book and alter booking/payment/event revision; advance isolated clock; inspect eligible and skipped jobs and sink messages.</x:v>
      </x:c>
      <x:c r="F10" s="10" t="str">
        <x:v>Only currently eligible recipient/revision receives valid reminder; obsolete jobs skipped once.</x:v>
      </x:c>
      <x:c r="G10" s="10" t="str">
        <x:v>QA-0166 to QA-0175</x:v>
      </x:c>
      <x:c r="H10" s="11" t="str">
        <x:v>Not run</x:v>
      </x:c>
      <x:c r="I10" s="11" t="str"/>
      <x:c r="J10" s="11" t="str"/>
      <x:c r="K10" s="11" t="str"/>
      <x:c r="L10" s="11" t="str"/>
      <x:c r="M10" s="11" t="str"/>
      <x:c r="N10" s="11" t="str"/>
      <x:c r="O10" s="11" t="str"/>
      <x:c r="P10" s="12" t="str">
        <x:f>IF(A10="","",IF(H10="Not run","Pending",IF(OR(H10="Blocked",H10="Not deployed",H10="Not applicable"),IF(OR(I10="",O10=""),"Needs explanation","Recorded"),IF(OR(H10="Pass",H10="Fail"),IF(OR(I10="",J10="",M10=""),"Needs result/evidence/build","Recorded"),"Needs valid status"))))</x:f>
        <x:v>Pending</x:v>
      </x:c>
    </x:row>
    <x:row r="11" ht="94" customHeight="1">
      <x:c r="A11" s="10" t="str">
        <x:v>E2E-07</x:v>
      </x:c>
      <x:c r="B11" s="10" t="str">
        <x:v>Campaign and unsubscribe</x:v>
      </x:c>
      <x:c r="C11" s="10" t="str">
        <x:v>Live - tagged fixture</x:v>
      </x:c>
      <x:c r="D11" s="10" t="str">
        <x:v>Owned QA fixtures; same build for all stages; approved recipients; ready roles and providers.</x:v>
      </x:c>
      <x:c r="E11" s="10" t="str">
        <x:v>Create draft; independently reconcile QA audience; review exact allowlist; dispatch once; inspect actual inbox; unsubscribe; preview subsequent eligible audience.</x:v>
      </x:c>
      <x:c r="F11" s="10" t="str">
        <x:v>One intended message per recipient; actual receipt distinguished from acceptance; unsubscribe respected.</x:v>
      </x:c>
      <x:c r="G11" s="10" t="str">
        <x:v>QA-0176 to QA-0195</x:v>
      </x:c>
      <x:c r="H11" s="11" t="str">
        <x:v>Not run</x:v>
      </x:c>
      <x:c r="I11" s="11" t="str"/>
      <x:c r="J11" s="11" t="str"/>
      <x:c r="K11" s="11" t="str"/>
      <x:c r="L11" s="11" t="str"/>
      <x:c r="M11" s="11" t="str"/>
      <x:c r="N11" s="11" t="str"/>
      <x:c r="O11" s="11" t="str"/>
      <x:c r="P11" s="12" t="str">
        <x:f>IF(A11="","",IF(H11="Not run","Pending",IF(OR(H11="Blocked",H11="Not deployed",H11="Not applicable"),IF(OR(I11="",O11=""),"Needs explanation","Recorded"),IF(OR(H11="Pass",H11="Fail"),IF(OR(I11="",J11="",M11=""),"Needs result/evidence/build","Recorded"),"Needs valid status"))))</x:f>
        <x:v>Pending</x:v>
      </x:c>
    </x:row>
    <x:row r="12" ht="94" customHeight="1">
      <x:c r="A12" s="10" t="str">
        <x:v>E2E-08</x:v>
      </x:c>
      <x:c r="B12" s="10" t="str">
        <x:v>Inquiry to closure</x:v>
      </x:c>
      <x:c r="C12" s="10" t="str">
        <x:v>Live - tagged fixture</x:v>
      </x:c>
      <x:c r="D12" s="10" t="str">
        <x:v>Owned QA fixtures; same build for all stages; approved recipients; ready roles and providers.</x:v>
      </x:c>
      <x:c r="E12" s="10" t="str">
        <x:v>Submit tagged inquiry; assign; note follow-up; use supported inbox linkage/reply if available to approved correspondent; close; inspect report/history.</x:v>
      </x:c>
      <x:c r="F12" s="10" t="str">
        <x:v>Correct CRM history and supported communication; unsupported linkage explicitly noted.</x:v>
      </x:c>
      <x:c r="G12" s="10" t="str">
        <x:v>QA-0082 to QA-0094; QA-0176 to QA-0195; QA-0225 to QA-0236</x:v>
      </x:c>
      <x:c r="H12" s="11" t="str">
        <x:v>Not run</x:v>
      </x:c>
      <x:c r="I12" s="11" t="str"/>
      <x:c r="J12" s="11" t="str"/>
      <x:c r="K12" s="11" t="str"/>
      <x:c r="L12" s="11" t="str"/>
      <x:c r="M12" s="11" t="str"/>
      <x:c r="N12" s="11" t="str"/>
      <x:c r="O12" s="11" t="str"/>
      <x:c r="P12" s="12" t="str">
        <x:f>IF(A12="","",IF(H12="Not run","Pending",IF(OR(H12="Blocked",H12="Not deployed",H12="Not applicable"),IF(OR(I12="",O12=""),"Needs explanation","Recorded"),IF(OR(H12="Pass",H12="Fail"),IF(OR(I12="",J12="",M12=""),"Needs result/evidence/build","Recorded"),"Needs valid status"))))</x:f>
        <x:v>Pending</x:v>
      </x:c>
    </x:row>
    <x:row r="13" ht="94" customHeight="1">
      <x:c r="A13" s="10" t="str">
        <x:v>E2E-09</x:v>
      </x:c>
      <x:c r="B13" s="10" t="str">
        <x:v>Editorial publication lifecycle</x:v>
      </x:c>
      <x:c r="C13" s="10" t="str">
        <x:v>Live - tagged fixture</x:v>
      </x:c>
      <x:c r="D13" s="10" t="str">
        <x:v>Owned QA fixtures; same build for all stages; approved recipients; ready roles and providers.</x:v>
      </x:c>
      <x:c r="E13" s="10" t="str">
        <x:v>Create QA content/media/profile drafts; review/preview; publish approved test records; edit without publish; withdraw/archive; verify public access at every stage.</x:v>
      </x:c>
      <x:c r="F13" s="10" t="str">
        <x:v>Published snapshots/private assets preserved and removal reflected correctly.</x:v>
      </x:c>
      <x:c r="G13" s="10" t="str">
        <x:v>QA-0196 to QA-0224</x:v>
      </x:c>
      <x:c r="H13" s="11" t="str">
        <x:v>Not run</x:v>
      </x:c>
      <x:c r="I13" s="11" t="str"/>
      <x:c r="J13" s="11" t="str"/>
      <x:c r="K13" s="11" t="str"/>
      <x:c r="L13" s="11" t="str"/>
      <x:c r="M13" s="11" t="str"/>
      <x:c r="N13" s="11" t="str"/>
      <x:c r="O13" s="11" t="str"/>
      <x:c r="P13" s="12" t="str">
        <x:f>IF(A13="","",IF(H13="Not run","Pending",IF(OR(H13="Blocked",H13="Not deployed",H13="Not applicable"),IF(OR(I13="",O13=""),"Needs explanation","Recorded"),IF(OR(H13="Pass",H13="Fail"),IF(OR(I13="",J13="",M13=""),"Needs result/evidence/build","Recorded"),"Needs valid status"))))</x:f>
        <x:v>Pending</x:v>
      </x:c>
    </x:row>
    <x:row r="14" ht="94" customHeight="1">
      <x:c r="A14" s="10" t="str">
        <x:v>E2E-10</x:v>
      </x:c>
      <x:c r="B14" s="10" t="str">
        <x:v>Event benefits and access</x:v>
      </x:c>
      <x:c r="C14" s="10" t="str">
        <x:v>Live - tagged fixture</x:v>
      </x:c>
      <x:c r="D14" s="10" t="str">
        <x:v>Owned QA fixtures; same build for all stages; approved recipients; ready roles and providers.</x:v>
      </x:c>
      <x:c r="E14" s="10" t="str">
        <x:v>Configure resources; register A/B; mark A present B absent; finalize/complete with required roles; inspect badges/perks/resource direct access; revoke test perk.</x:v>
      </x:c>
      <x:c r="F14" s="10" t="str">
        <x:v>Only eligible current member gets appropriate resources/badge/perk; B denied where ineligible.</x:v>
      </x:c>
      <x:c r="G14" s="10" t="str">
        <x:v>QA-0145 to QA-0165</x:v>
      </x:c>
      <x:c r="H14" s="11" t="str">
        <x:v>Not run</x:v>
      </x:c>
      <x:c r="I14" s="11" t="str"/>
      <x:c r="J14" s="11" t="str"/>
      <x:c r="K14" s="11" t="str"/>
      <x:c r="L14" s="11" t="str"/>
      <x:c r="M14" s="11" t="str"/>
      <x:c r="N14" s="11" t="str"/>
      <x:c r="O14" s="11" t="str"/>
      <x:c r="P14" s="12" t="str">
        <x:f>IF(A14="","",IF(H14="Not run","Pending",IF(OR(H14="Blocked",H14="Not deployed",H14="Not applicable"),IF(OR(I14="",O14=""),"Needs explanation","Recorded"),IF(OR(H14="Pass",H14="Fail"),IF(OR(I14="",J14="",M14=""),"Needs result/evidence/build","Recorded"),"Needs valid status"))))</x:f>
        <x:v>Pending</x:v>
      </x:c>
    </x:row>
    <x:row r="15" ht="94" customHeight="1">
      <x:c r="A15" s="10" t="str">
        <x:v>E2E-11</x:v>
      </x:c>
      <x:c r="B15" s="10" t="str">
        <x:v>Revoked staff authorization</x:v>
      </x:c>
      <x:c r="C15" s="10" t="str">
        <x:v>Live - tagged fixture</x:v>
      </x:c>
      <x:c r="D15" s="10" t="str">
        <x:v>Owned QA fixtures; same build for all stages; approved recipients; ready roles and providers.</x:v>
      </x:c>
      <x:c r="E15" s="10" t="str">
        <x:v>Open owned QA staff session and report; revoke its role; repeat action/direct API/export with stale UI; restore intended test role after evidence.</x:v>
      </x:c>
      <x:c r="F15" s="10" t="str">
        <x:v>Revocation enforced on server and data/export access; no stale privilege bypass.</x:v>
      </x:c>
      <x:c r="G15" s="10" t="str">
        <x:v>QA-0225 to QA-0247</x:v>
      </x:c>
      <x:c r="H15" s="11" t="str">
        <x:v>Not run</x:v>
      </x:c>
      <x:c r="I15" s="11" t="str"/>
      <x:c r="J15" s="11" t="str"/>
      <x:c r="K15" s="11" t="str"/>
      <x:c r="L15" s="11" t="str"/>
      <x:c r="M15" s="11" t="str"/>
      <x:c r="N15" s="11" t="str"/>
      <x:c r="O15" s="11" t="str"/>
      <x:c r="P15" s="12" t="str">
        <x:f>IF(A15="","",IF(H15="Not run","Pending",IF(OR(H15="Blocked",H15="Not deployed",H15="Not applicable"),IF(OR(I15="",O15=""),"Needs explanation","Recorded"),IF(OR(H15="Pass",H15="Fail"),IF(OR(I15="",J15="",M15=""),"Needs result/evidence/build","Recorded"),"Needs valid status"))))</x:f>
        <x:v>Pending</x:v>
      </x:c>
    </x:row>
    <x:row r="16" ht="94" customHeight="1">
      <x:c r="A16" s="10" t="str">
        <x:v>E2E-12</x:v>
      </x:c>
      <x:c r="B16" s="10" t="str">
        <x:v>Failure and recovery</x:v>
      </x:c>
      <x:c r="C16" s="10" t="str">
        <x:v>Isolated only</x:v>
      </x:c>
      <x:c r="D16" s="10" t="str">
        <x:v>Owned QA fixtures; same build for all stages; approved recipients; ready roles and providers.</x:v>
      </x:c>
      <x:c r="E16" s="10" t="str">
        <x:v>Induce isolated failure during transaction/worker job; retry/restart; reconcile rows/jobs/objects; restore isolated backup with external sending disabled.</x:v>
      </x:c>
      <x:c r="F16" s="10" t="str">
        <x:v>No lost/duplicate committed work; usable restored data and recovery timing evidence; no live sends.</x:v>
      </x:c>
      <x:c r="G16" s="10" t="str">
        <x:v>QA-0248 to QA-0260</x:v>
      </x:c>
      <x:c r="H16" s="11" t="str">
        <x:v>Not run</x:v>
      </x:c>
      <x:c r="I16" s="11" t="str"/>
      <x:c r="J16" s="11" t="str"/>
      <x:c r="K16" s="11" t="str"/>
      <x:c r="L16" s="11" t="str"/>
      <x:c r="M16" s="11" t="str"/>
      <x:c r="N16" s="11" t="str"/>
      <x:c r="O16" s="11" t="str"/>
      <x:c r="P16" s="12" t="str">
        <x:f>IF(A16="","",IF(H16="Not run","Pending",IF(OR(H16="Blocked",H16="Not deployed",H16="Not applicable"),IF(OR(I16="",O16=""),"Needs explanation","Recorded"),IF(OR(H16="Pass",H16="Fail"),IF(OR(I16="",J16="",M16=""),"Needs result/evidence/build","Recorded"),"Needs valid status"))))</x:f>
        <x:v>Pending</x:v>
      </x:c>
    </x:row>
  </x:sheetData>
  <x:conditionalFormatting sqref="H5:H16">
    <x:cfRule type="cellIs" dxfId="5" priority="1" operator="equal">
      <x:formula>"Fail"</x:formula>
    </x:cfRule>
    <x:cfRule type="cellIs" dxfId="6" priority="2" operator="equal">
      <x:formula>"Blocked"</x:formula>
    </x:cfRule>
    <x:cfRule type="cellIs" dxfId="7" priority="3" operator="equal">
      <x:formula>"Not deployed"</x:formula>
    </x:cfRule>
    <x:cfRule type="cellIs" dxfId="8" priority="4" operator="equal">
      <x:formula>"Not applicable"</x:formula>
    </x:cfRule>
  </x:conditionalFormatting>
  <x:dataValidations count="1">
    <x:dataValidation type="list" sqref="H5:H16">
      <x:formula1>"Not run,Pass,Fail,Blocked,Not deployed,Not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e50d161a0f42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55" hidden="0" customWidth="1"/>
    <x:col min="5" max="5" width="85" hidden="0" customWidth="1"/>
    <x:col min="6" max="6" width="70" hidden="0" customWidth="1"/>
    <x:col min="7" max="7" width="70" hidden="0" customWidth="1"/>
    <x:col min="8" max="8" width="18" hidden="0" customWidth="1"/>
    <x:col min="9" max="9" width="26" hidden="0" customWidth="1"/>
    <x:col min="10" max="10" width="28" hidden="0" customWidth="1"/>
    <x:col min="11" max="11" width="32" hidden="0" customWidth="1"/>
    <x:col min="12" max="12" width="52" hidden="0" customWidth="1"/>
    <x:col min="13" max="13" width="65" hidden="0" customWidth="1"/>
    <x:col min="14" max="14" width="32" hidden="0" customWidth="1"/>
    <x:col min="15" max="15" width="52" hidden="0" customWidth="1"/>
    <x:col min="16" max="16" width="65" hidden="0" customWidth="1"/>
    <x:col min="17" max="17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Defects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36" customHeight="1">
      <x:c r="A4" s="8" t="str">
        <x:v>Defect ID</x:v>
      </x:c>
      <x:c r="B4" s="8" t="str">
        <x:v>Case / journey IDs</x:v>
      </x:c>
      <x:c r="C4" s="8" t="str">
        <x:v>Module</x:v>
      </x:c>
      <x:c r="D4" s="8" t="str">
        <x:v>Problem</x:v>
      </x:c>
      <x:c r="E4" s="8" t="str">
        <x:v>Reproduction steps</x:v>
      </x:c>
      <x:c r="F4" s="8" t="str">
        <x:v>Expected</x:v>
      </x:c>
      <x:c r="G4" s="8" t="str">
        <x:v>Actual</x:v>
      </x:c>
      <x:c r="H4" s="8" t="str">
        <x:v>Severity</x:v>
      </x:c>
      <x:c r="I4" s="8" t="str">
        <x:v>Status</x:v>
      </x:c>
      <x:c r="J4" s="8" t="str">
        <x:v>Owner</x:v>
      </x:c>
      <x:c r="K4" s="8" t="str">
        <x:v>Affected build</x:v>
      </x:c>
      <x:c r="L4" s="8" t="str">
        <x:v>Evidence links</x:v>
      </x:c>
      <x:c r="M4" s="8" t="str">
        <x:v>Fix / action</x:v>
      </x:c>
      <x:c r="N4" s="8" t="str">
        <x:v>Retest build</x:v>
      </x:c>
      <x:c r="O4" s="8" t="str">
        <x:v>Retest evidence</x:v>
      </x:c>
      <x:c r="P4" s="8" t="str">
        <x:v>Exception approval / reason</x:v>
      </x:c>
      <x:c r="Q4" s="8" t="str">
        <x:v>Record check</x:v>
      </x:c>
    </x:row>
    <x:row r="5" ht="52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2" t="str">
        <x:f>IF(A5="","",IF(OR(B5="",D5="",E5="",F5="",G5="",H5="",I5="",J5="",K5="",L5=""),"Needs defect details",IF(AND(I5="Closed",OR(N5="",O5="")),"Needs retest evidence",IF(AND(I5="Accepted exception",OR(H5="Critical",H5="High",P5="")),"Invalid exception","Recorded"))))</x:f>
      </x:c>
    </x:row>
    <x:row r="6" ht="52" customHeight="1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2" t="str">
        <x:f>IF(A6="","",IF(OR(B6="",D6="",E6="",F6="",G6="",H6="",I6="",J6="",K6="",L6=""),"Needs defect details",IF(AND(I6="Closed",OR(N6="",O6="")),"Needs retest evidence",IF(AND(I6="Accepted exception",OR(H6="Critical",H6="High",P6="")),"Invalid exception","Recorded"))))</x:f>
      </x:c>
    </x:row>
    <x:row r="7" ht="52" customHeight="1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2" t="str">
        <x:f>IF(A7="","",IF(OR(B7="",D7="",E7="",F7="",G7="",H7="",I7="",J7="",K7="",L7=""),"Needs defect details",IF(AND(I7="Closed",OR(N7="",O7="")),"Needs retest evidence",IF(AND(I7="Accepted exception",OR(H7="Critical",H7="High",P7="")),"Invalid exception","Recorded"))))</x:f>
      </x:c>
    </x:row>
    <x:row r="8" ht="52" customHeight="1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2" t="str">
        <x:f>IF(A8="","",IF(OR(B8="",D8="",E8="",F8="",G8="",H8="",I8="",J8="",K8="",L8=""),"Needs defect details",IF(AND(I8="Closed",OR(N8="",O8="")),"Needs retest evidence",IF(AND(I8="Accepted exception",OR(H8="Critical",H8="High",P8="")),"Invalid exception","Recorded"))))</x:f>
      </x:c>
    </x:row>
    <x:row r="9" ht="52" customHeight="1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2" t="str">
        <x:f>IF(A9="","",IF(OR(B9="",D9="",E9="",F9="",G9="",H9="",I9="",J9="",K9="",L9=""),"Needs defect details",IF(AND(I9="Closed",OR(N9="",O9="")),"Needs retest evidence",IF(AND(I9="Accepted exception",OR(H9="Critical",H9="High",P9="")),"Invalid exception","Recorded"))))</x:f>
      </x:c>
    </x:row>
    <x:row r="10" ht="52" customHeight="1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2" t="str">
        <x:f>IF(A10="","",IF(OR(B10="",D10="",E10="",F10="",G10="",H10="",I10="",J10="",K10="",L10=""),"Needs defect details",IF(AND(I10="Closed",OR(N10="",O10="")),"Needs retest evidence",IF(AND(I10="Accepted exception",OR(H10="Critical",H10="High",P10="")),"Invalid exception","Recorded"))))</x:f>
      </x:c>
    </x:row>
    <x:row r="11" ht="52" customHeight="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2" t="str">
        <x:f>IF(A11="","",IF(OR(B11="",D11="",E11="",F11="",G11="",H11="",I11="",J11="",K11="",L11=""),"Needs defect details",IF(AND(I11="Closed",OR(N11="",O11="")),"Needs retest evidence",IF(AND(I11="Accepted exception",OR(H11="Critical",H11="High",P11="")),"Invalid exception","Recorded"))))</x:f>
      </x:c>
    </x:row>
    <x:row r="12" ht="52" customHeight="1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2" t="str">
        <x:f>IF(A12="","",IF(OR(B12="",D12="",E12="",F12="",G12="",H12="",I12="",J12="",K12="",L12=""),"Needs defect details",IF(AND(I12="Closed",OR(N12="",O12="")),"Needs retest evidence",IF(AND(I12="Accepted exception",OR(H12="Critical",H12="High",P12="")),"Invalid exception","Recorded"))))</x:f>
      </x:c>
    </x:row>
    <x:row r="13" ht="52" customHeight="1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2" t="str">
        <x:f>IF(A13="","",IF(OR(B13="",D13="",E13="",F13="",G13="",H13="",I13="",J13="",K13="",L13=""),"Needs defect details",IF(AND(I13="Closed",OR(N13="",O13="")),"Needs retest evidence",IF(AND(I13="Accepted exception",OR(H13="Critical",H13="High",P13="")),"Invalid exception","Recorded"))))</x:f>
      </x:c>
    </x:row>
    <x:row r="14" ht="52" customHeight="1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2" t="str">
        <x:f>IF(A14="","",IF(OR(B14="",D14="",E14="",F14="",G14="",H14="",I14="",J14="",K14="",L14=""),"Needs defect details",IF(AND(I14="Closed",OR(N14="",O14="")),"Needs retest evidence",IF(AND(I14="Accepted exception",OR(H14="Critical",H14="High",P14="")),"Invalid exception","Recorded"))))</x:f>
      </x:c>
    </x:row>
    <x:row r="15" ht="52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2" t="str">
        <x:f>IF(A15="","",IF(OR(B15="",D15="",E15="",F15="",G15="",H15="",I15="",J15="",K15="",L15=""),"Needs defect details",IF(AND(I15="Closed",OR(N15="",O15="")),"Needs retest evidence",IF(AND(I15="Accepted exception",OR(H15="Critical",H15="High",P15="")),"Invalid exception","Recorded"))))</x:f>
      </x:c>
    </x:row>
    <x:row r="16" ht="52" customHeight="1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2" t="str">
        <x:f>IF(A16="","",IF(OR(B16="",D16="",E16="",F16="",G16="",H16="",I16="",J16="",K16="",L16=""),"Needs defect details",IF(AND(I16="Closed",OR(N16="",O16="")),"Needs retest evidence",IF(AND(I16="Accepted exception",OR(H16="Critical",H16="High",P16="")),"Invalid exception","Recorded"))))</x:f>
      </x:c>
    </x:row>
    <x:row r="17" ht="52" customHeight="1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2" t="str">
        <x:f>IF(A17="","",IF(OR(B17="",D17="",E17="",F17="",G17="",H17="",I17="",J17="",K17="",L17=""),"Needs defect details",IF(AND(I17="Closed",OR(N17="",O17="")),"Needs retest evidence",IF(AND(I17="Accepted exception",OR(H17="Critical",H17="High",P17="")),"Invalid exception","Recorded"))))</x:f>
      </x:c>
    </x:row>
    <x:row r="18" ht="52" customHeight="1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  <x:c r="P18" s="11" t="str"/>
      <x:c r="Q18" s="12" t="str">
        <x:f>IF(A18="","",IF(OR(B18="",D18="",E18="",F18="",G18="",H18="",I18="",J18="",K18="",L18=""),"Needs defect details",IF(AND(I18="Closed",OR(N18="",O18="")),"Needs retest evidence",IF(AND(I18="Accepted exception",OR(H18="Critical",H18="High",P18="")),"Invalid exception","Recorded"))))</x:f>
      </x:c>
    </x:row>
    <x:row r="19" ht="52" customHeight="1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  <x:c r="P19" s="11" t="str"/>
      <x:c r="Q19" s="12" t="str">
        <x:f>IF(A19="","",IF(OR(B19="",D19="",E19="",F19="",G19="",H19="",I19="",J19="",K19="",L19=""),"Needs defect details",IF(AND(I19="Closed",OR(N19="",O19="")),"Needs retest evidence",IF(AND(I19="Accepted exception",OR(H19="Critical",H19="High",P19="")),"Invalid exception","Recorded"))))</x:f>
      </x:c>
    </x:row>
    <x:row r="20" ht="52" customHeight="1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  <x:c r="P20" s="11" t="str"/>
      <x:c r="Q20" s="12" t="str">
        <x:f>IF(A20="","",IF(OR(B20="",D20="",E20="",F20="",G20="",H20="",I20="",J20="",K20="",L20=""),"Needs defect details",IF(AND(I20="Closed",OR(N20="",O20="")),"Needs retest evidence",IF(AND(I20="Accepted exception",OR(H20="Critical",H20="High",P20="")),"Invalid exception","Recorded"))))</x:f>
      </x:c>
    </x:row>
    <x:row r="21" ht="52" customHeight="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  <x:c r="P21" s="11" t="str"/>
      <x:c r="Q21" s="12" t="str">
        <x:f>IF(A21="","",IF(OR(B21="",D21="",E21="",F21="",G21="",H21="",I21="",J21="",K21="",L21=""),"Needs defect details",IF(AND(I21="Closed",OR(N21="",O21="")),"Needs retest evidence",IF(AND(I21="Accepted exception",OR(H21="Critical",H21="High",P21="")),"Invalid exception","Recorded"))))</x:f>
      </x:c>
    </x:row>
    <x:row r="22" ht="52" customHeight="1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  <x:c r="P22" s="11" t="str"/>
      <x:c r="Q22" s="12" t="str">
        <x:f>IF(A22="","",IF(OR(B22="",D22="",E22="",F22="",G22="",H22="",I22="",J22="",K22="",L22=""),"Needs defect details",IF(AND(I22="Closed",OR(N22="",O22="")),"Needs retest evidence",IF(AND(I22="Accepted exception",OR(H22="Critical",H22="High",P22="")),"Invalid exception","Recorded"))))</x:f>
      </x:c>
    </x:row>
    <x:row r="23" ht="52" customHeight="1">
      <x:c r="A23" s="11" t="str"/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  <x:c r="P23" s="11" t="str"/>
      <x:c r="Q23" s="12" t="str">
        <x:f>IF(A23="","",IF(OR(B23="",D23="",E23="",F23="",G23="",H23="",I23="",J23="",K23="",L23=""),"Needs defect details",IF(AND(I23="Closed",OR(N23="",O23="")),"Needs retest evidence",IF(AND(I23="Accepted exception",OR(H23="Critical",H23="High",P23="")),"Invalid exception","Recorded"))))</x:f>
      </x:c>
    </x:row>
    <x:row r="24" ht="52" customHeight="1">
      <x:c r="A24" s="11" t="str"/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  <x:c r="P24" s="11" t="str"/>
      <x:c r="Q24" s="12" t="str">
        <x:f>IF(A24="","",IF(OR(B24="",D24="",E24="",F24="",G24="",H24="",I24="",J24="",K24="",L24=""),"Needs defect details",IF(AND(I24="Closed",OR(N24="",O24="")),"Needs retest evidence",IF(AND(I24="Accepted exception",OR(H24="Critical",H24="High",P24="")),"Invalid exception","Recorded"))))</x:f>
      </x:c>
    </x:row>
    <x:row r="25" ht="52" customHeight="1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  <x:c r="P25" s="11" t="str"/>
      <x:c r="Q25" s="12" t="str">
        <x:f>IF(A25="","",IF(OR(B25="",D25="",E25="",F25="",G25="",H25="",I25="",J25="",K25="",L25=""),"Needs defect details",IF(AND(I25="Closed",OR(N25="",O25="")),"Needs retest evidence",IF(AND(I25="Accepted exception",OR(H25="Critical",H25="High",P25="")),"Invalid exception","Recorded"))))</x:f>
      </x:c>
    </x:row>
    <x:row r="26" ht="52" customHeight="1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  <x:c r="P26" s="11" t="str"/>
      <x:c r="Q26" s="12" t="str">
        <x:f>IF(A26="","",IF(OR(B26="",D26="",E26="",F26="",G26="",H26="",I26="",J26="",K26="",L26=""),"Needs defect details",IF(AND(I26="Closed",OR(N26="",O26="")),"Needs retest evidence",IF(AND(I26="Accepted exception",OR(H26="Critical",H26="High",P26="")),"Invalid exception","Recorded"))))</x:f>
      </x:c>
    </x:row>
    <x:row r="27" ht="52" customHeight="1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  <x:c r="P27" s="11" t="str"/>
      <x:c r="Q27" s="12" t="str">
        <x:f>IF(A27="","",IF(OR(B27="",D27="",E27="",F27="",G27="",H27="",I27="",J27="",K27="",L27=""),"Needs defect details",IF(AND(I27="Closed",OR(N27="",O27="")),"Needs retest evidence",IF(AND(I27="Accepted exception",OR(H27="Critical",H27="High",P27="")),"Invalid exception","Recorded"))))</x:f>
      </x:c>
    </x:row>
    <x:row r="28" ht="52" customHeight="1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  <x:c r="P28" s="11" t="str"/>
      <x:c r="Q28" s="12" t="str">
        <x:f>IF(A28="","",IF(OR(B28="",D28="",E28="",F28="",G28="",H28="",I28="",J28="",K28="",L28=""),"Needs defect details",IF(AND(I28="Closed",OR(N28="",O28="")),"Needs retest evidence",IF(AND(I28="Accepted exception",OR(H28="Critical",H28="High",P28="")),"Invalid exception","Recorded"))))</x:f>
      </x:c>
    </x:row>
    <x:row r="29" ht="52" customHeight="1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  <x:c r="P29" s="11" t="str"/>
      <x:c r="Q29" s="12" t="str">
        <x:f>IF(A29="","",IF(OR(B29="",D29="",E29="",F29="",G29="",H29="",I29="",J29="",K29="",L29=""),"Needs defect details",IF(AND(I29="Closed",OR(N29="",O29="")),"Needs retest evidence",IF(AND(I29="Accepted exception",OR(H29="Critical",H29="High",P29="")),"Invalid exception","Recorded"))))</x:f>
      </x:c>
    </x:row>
    <x:row r="30" ht="52" customHeight="1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  <x:c r="P30" s="11" t="str"/>
      <x:c r="Q30" s="12" t="str">
        <x:f>IF(A30="","",IF(OR(B30="",D30="",E30="",F30="",G30="",H30="",I30="",J30="",K30="",L30=""),"Needs defect details",IF(AND(I30="Closed",OR(N30="",O30="")),"Needs retest evidence",IF(AND(I30="Accepted exception",OR(H30="Critical",H30="High",P30="")),"Invalid exception","Recorded"))))</x:f>
      </x:c>
    </x:row>
    <x:row r="31" ht="52" customHeight="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  <x:c r="P31" s="11" t="str"/>
      <x:c r="Q31" s="12" t="str">
        <x:f>IF(A31="","",IF(OR(B31="",D31="",E31="",F31="",G31="",H31="",I31="",J31="",K31="",L31=""),"Needs defect details",IF(AND(I31="Closed",OR(N31="",O31="")),"Needs retest evidence",IF(AND(I31="Accepted exception",OR(H31="Critical",H31="High",P31="")),"Invalid exception","Recorded"))))</x:f>
      </x:c>
    </x:row>
    <x:row r="32" ht="52" customHeight="1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  <x:c r="P32" s="11" t="str"/>
      <x:c r="Q32" s="12" t="str">
        <x:f>IF(A32="","",IF(OR(B32="",D32="",E32="",F32="",G32="",H32="",I32="",J32="",K32="",L32=""),"Needs defect details",IF(AND(I32="Closed",OR(N32="",O32="")),"Needs retest evidence",IF(AND(I32="Accepted exception",OR(H32="Critical",H32="High",P32="")),"Invalid exception","Recorded"))))</x:f>
      </x:c>
    </x:row>
    <x:row r="33" ht="52" customHeight="1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  <x:c r="P33" s="11" t="str"/>
      <x:c r="Q33" s="12" t="str">
        <x:f>IF(A33="","",IF(OR(B33="",D33="",E33="",F33="",G33="",H33="",I33="",J33="",K33="",L33=""),"Needs defect details",IF(AND(I33="Closed",OR(N33="",O33="")),"Needs retest evidence",IF(AND(I33="Accepted exception",OR(H33="Critical",H33="High",P33="")),"Invalid exception","Recorded"))))</x:f>
      </x:c>
    </x:row>
    <x:row r="34" ht="52" customHeight="1">
      <x:c r="A34" s="11" t="str"/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  <x:c r="P34" s="11" t="str"/>
      <x:c r="Q34" s="12" t="str">
        <x:f>IF(A34="","",IF(OR(B34="",D34="",E34="",F34="",G34="",H34="",I34="",J34="",K34="",L34=""),"Needs defect details",IF(AND(I34="Closed",OR(N34="",O34="")),"Needs retest evidence",IF(AND(I34="Accepted exception",OR(H34="Critical",H34="High",P34="")),"Invalid exception","Recorded"))))</x:f>
      </x:c>
    </x:row>
    <x:row r="35" ht="52" customHeight="1">
      <x:c r="A35" s="11" t="str"/>
      <x:c r="B35" s="11" t="str"/>
      <x:c r="C35" s="11" t="str"/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  <x:c r="P35" s="11" t="str"/>
      <x:c r="Q35" s="12" t="str">
        <x:f>IF(A35="","",IF(OR(B35="",D35="",E35="",F35="",G35="",H35="",I35="",J35="",K35="",L35=""),"Needs defect details",IF(AND(I35="Closed",OR(N35="",O35="")),"Needs retest evidence",IF(AND(I35="Accepted exception",OR(H35="Critical",H35="High",P35="")),"Invalid exception","Recorded"))))</x:f>
      </x:c>
    </x:row>
    <x:row r="36" ht="52" customHeight="1">
      <x:c r="A36" s="11" t="str"/>
      <x:c r="B36" s="11" t="str"/>
      <x:c r="C36" s="11" t="str"/>
      <x:c r="D36" s="11" t="str"/>
      <x:c r="E36" s="11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  <x:c r="P36" s="11" t="str"/>
      <x:c r="Q36" s="12" t="str">
        <x:f>IF(A36="","",IF(OR(B36="",D36="",E36="",F36="",G36="",H36="",I36="",J36="",K36="",L36=""),"Needs defect details",IF(AND(I36="Closed",OR(N36="",O36="")),"Needs retest evidence",IF(AND(I36="Accepted exception",OR(H36="Critical",H36="High",P36="")),"Invalid exception","Recorded"))))</x:f>
      </x:c>
    </x:row>
    <x:row r="37" ht="52" customHeight="1">
      <x:c r="A37" s="11" t="str"/>
      <x:c r="B37" s="11" t="str"/>
      <x:c r="C37" s="11" t="str"/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  <x:c r="P37" s="11" t="str"/>
      <x:c r="Q37" s="12" t="str">
        <x:f>IF(A37="","",IF(OR(B37="",D37="",E37="",F37="",G37="",H37="",I37="",J37="",K37="",L37=""),"Needs defect details",IF(AND(I37="Closed",OR(N37="",O37="")),"Needs retest evidence",IF(AND(I37="Accepted exception",OR(H37="Critical",H37="High",P37="")),"Invalid exception","Recorded"))))</x:f>
      </x:c>
    </x:row>
    <x:row r="38" ht="52" customHeight="1">
      <x:c r="A38" s="11" t="str"/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  <x:c r="P38" s="11" t="str"/>
      <x:c r="Q38" s="12" t="str">
        <x:f>IF(A38="","",IF(OR(B38="",D38="",E38="",F38="",G38="",H38="",I38="",J38="",K38="",L38=""),"Needs defect details",IF(AND(I38="Closed",OR(N38="",O38="")),"Needs retest evidence",IF(AND(I38="Accepted exception",OR(H38="Critical",H38="High",P38="")),"Invalid exception","Recorded"))))</x:f>
      </x:c>
    </x:row>
    <x:row r="39" ht="52" customHeight="1">
      <x:c r="A39" s="11" t="str"/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  <x:c r="P39" s="11" t="str"/>
      <x:c r="Q39" s="12" t="str">
        <x:f>IF(A39="","",IF(OR(B39="",D39="",E39="",F39="",G39="",H39="",I39="",J39="",K39="",L39=""),"Needs defect details",IF(AND(I39="Closed",OR(N39="",O39="")),"Needs retest evidence",IF(AND(I39="Accepted exception",OR(H39="Critical",H39="High",P39="")),"Invalid exception","Recorded"))))</x:f>
      </x:c>
    </x:row>
    <x:row r="40" ht="52" customHeight="1">
      <x:c r="A40" s="11" t="str"/>
      <x:c r="B40" s="11" t="str"/>
      <x:c r="C40" s="11" t="str"/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  <x:c r="P40" s="11" t="str"/>
      <x:c r="Q40" s="12" t="str">
        <x:f>IF(A40="","",IF(OR(B40="",D40="",E40="",F40="",G40="",H40="",I40="",J40="",K40="",L40=""),"Needs defect details",IF(AND(I40="Closed",OR(N40="",O40="")),"Needs retest evidence",IF(AND(I40="Accepted exception",OR(H40="Critical",H40="High",P40="")),"Invalid exception","Recorded"))))</x:f>
      </x:c>
    </x:row>
    <x:row r="41" ht="52" customHeight="1">
      <x:c r="A41" s="11" t="str"/>
      <x:c r="B41" s="11" t="str"/>
      <x:c r="C41" s="11" t="str"/>
      <x:c r="D41" s="11" t="str"/>
      <x:c r="E41" s="11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  <x:c r="P41" s="11" t="str"/>
      <x:c r="Q41" s="12" t="str">
        <x:f>IF(A41="","",IF(OR(B41="",D41="",E41="",F41="",G41="",H41="",I41="",J41="",K41="",L41=""),"Needs defect details",IF(AND(I41="Closed",OR(N41="",O41="")),"Needs retest evidence",IF(AND(I41="Accepted exception",OR(H41="Critical",H41="High",P41="")),"Invalid exception","Recorded"))))</x:f>
      </x:c>
    </x:row>
    <x:row r="42" ht="52" customHeight="1">
      <x:c r="A42" s="11" t="str"/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  <x:c r="P42" s="11" t="str"/>
      <x:c r="Q42" s="12" t="str">
        <x:f>IF(A42="","",IF(OR(B42="",D42="",E42="",F42="",G42="",H42="",I42="",J42="",K42="",L42=""),"Needs defect details",IF(AND(I42="Closed",OR(N42="",O42="")),"Needs retest evidence",IF(AND(I42="Accepted exception",OR(H42="Critical",H42="High",P42="")),"Invalid exception","Recorded"))))</x:f>
      </x:c>
    </x:row>
    <x:row r="43" ht="52" customHeight="1">
      <x:c r="A43" s="11" t="str"/>
      <x:c r="B43" s="11" t="str"/>
      <x:c r="C43" s="11" t="str"/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  <x:c r="P43" s="11" t="str"/>
      <x:c r="Q43" s="12" t="str">
        <x:f>IF(A43="","",IF(OR(B43="",D43="",E43="",F43="",G43="",H43="",I43="",J43="",K43="",L43=""),"Needs defect details",IF(AND(I43="Closed",OR(N43="",O43="")),"Needs retest evidence",IF(AND(I43="Accepted exception",OR(H43="Critical",H43="High",P43="")),"Invalid exception","Recorded"))))</x:f>
      </x:c>
    </x:row>
    <x:row r="44" ht="52" customHeight="1">
      <x:c r="A44" s="11" t="str"/>
      <x:c r="B44" s="11" t="str"/>
      <x:c r="C44" s="11" t="str"/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  <x:c r="P44" s="11" t="str"/>
      <x:c r="Q44" s="12" t="str">
        <x:f>IF(A44="","",IF(OR(B44="",D44="",E44="",F44="",G44="",H44="",I44="",J44="",K44="",L44=""),"Needs defect details",IF(AND(I44="Closed",OR(N44="",O44="")),"Needs retest evidence",IF(AND(I44="Accepted exception",OR(H44="Critical",H44="High",P44="")),"Invalid exception","Recorded"))))</x:f>
      </x:c>
    </x:row>
    <x:row r="45" ht="52" customHeight="1">
      <x:c r="A45" s="11" t="str"/>
      <x:c r="B45" s="11" t="str"/>
      <x:c r="C45" s="11" t="str"/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  <x:c r="P45" s="11" t="str"/>
      <x:c r="Q45" s="12" t="str">
        <x:f>IF(A45="","",IF(OR(B45="",D45="",E45="",F45="",G45="",H45="",I45="",J45="",K45="",L45=""),"Needs defect details",IF(AND(I45="Closed",OR(N45="",O45="")),"Needs retest evidence",IF(AND(I45="Accepted exception",OR(H45="Critical",H45="High",P45="")),"Invalid exception","Recorded"))))</x:f>
      </x:c>
    </x:row>
    <x:row r="46" ht="52" customHeight="1">
      <x:c r="A46" s="11" t="str"/>
      <x:c r="B46" s="11" t="str"/>
      <x:c r="C46" s="11" t="str"/>
      <x:c r="D46" s="11" t="str"/>
      <x:c r="E46" s="11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  <x:c r="P46" s="11" t="str"/>
      <x:c r="Q46" s="12" t="str">
        <x:f>IF(A46="","",IF(OR(B46="",D46="",E46="",F46="",G46="",H46="",I46="",J46="",K46="",L46=""),"Needs defect details",IF(AND(I46="Closed",OR(N46="",O46="")),"Needs retest evidence",IF(AND(I46="Accepted exception",OR(H46="Critical",H46="High",P46="")),"Invalid exception","Recorded"))))</x:f>
      </x:c>
    </x:row>
    <x:row r="47" ht="52" customHeight="1">
      <x:c r="A47" s="11" t="str"/>
      <x:c r="B47" s="11" t="str"/>
      <x:c r="C47" s="11" t="str"/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  <x:c r="P47" s="11" t="str"/>
      <x:c r="Q47" s="12" t="str">
        <x:f>IF(A47="","",IF(OR(B47="",D47="",E47="",F47="",G47="",H47="",I47="",J47="",K47="",L47=""),"Needs defect details",IF(AND(I47="Closed",OR(N47="",O47="")),"Needs retest evidence",IF(AND(I47="Accepted exception",OR(H47="Critical",H47="High",P47="")),"Invalid exception","Recorded"))))</x:f>
      </x:c>
    </x:row>
    <x:row r="48" ht="52" customHeight="1">
      <x:c r="A48" s="11" t="str"/>
      <x:c r="B48" s="11" t="str"/>
      <x:c r="C48" s="11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  <x:c r="P48" s="11" t="str"/>
      <x:c r="Q48" s="12" t="str">
        <x:f>IF(A48="","",IF(OR(B48="",D48="",E48="",F48="",G48="",H48="",I48="",J48="",K48="",L48=""),"Needs defect details",IF(AND(I48="Closed",OR(N48="",O48="")),"Needs retest evidence",IF(AND(I48="Accepted exception",OR(H48="Critical",H48="High",P48="")),"Invalid exception","Recorded"))))</x:f>
      </x:c>
    </x:row>
    <x:row r="49" ht="52" customHeight="1">
      <x:c r="A49" s="11" t="str"/>
      <x:c r="B49" s="11" t="str"/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  <x:c r="O49" s="11" t="str"/>
      <x:c r="P49" s="11" t="str"/>
      <x:c r="Q49" s="12" t="str">
        <x:f>IF(A49="","",IF(OR(B49="",D49="",E49="",F49="",G49="",H49="",I49="",J49="",K49="",L49=""),"Needs defect details",IF(AND(I49="Closed",OR(N49="",O49="")),"Needs retest evidence",IF(AND(I49="Accepted exception",OR(H49="Critical",H49="High",P49="")),"Invalid exception","Recorded"))))</x:f>
      </x:c>
    </x:row>
    <x:row r="50" ht="52" customHeight="1">
      <x:c r="A50" s="11" t="str"/>
      <x:c r="B50" s="11" t="str"/>
      <x:c r="C50" s="11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  <x:c r="O50" s="11" t="str"/>
      <x:c r="P50" s="11" t="str"/>
      <x:c r="Q50" s="12" t="str">
        <x:f>IF(A50="","",IF(OR(B50="",D50="",E50="",F50="",G50="",H50="",I50="",J50="",K50="",L50=""),"Needs defect details",IF(AND(I50="Closed",OR(N50="",O50="")),"Needs retest evidence",IF(AND(I50="Accepted exception",OR(H50="Critical",H50="High",P50="")),"Invalid exception","Recorded"))))</x:f>
      </x:c>
    </x:row>
    <x:row r="51" ht="52" customHeight="1">
      <x:c r="A51" s="11" t="str"/>
      <x:c r="B51" s="11" t="str"/>
      <x:c r="C51" s="11" t="str"/>
      <x:c r="D51" s="11" t="str"/>
      <x:c r="E51" s="11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  <x:c r="O51" s="11" t="str"/>
      <x:c r="P51" s="11" t="str"/>
      <x:c r="Q51" s="12" t="str">
        <x:f>IF(A51="","",IF(OR(B51="",D51="",E51="",F51="",G51="",H51="",I51="",J51="",K51="",L51=""),"Needs defect details",IF(AND(I51="Closed",OR(N51="",O51="")),"Needs retest evidence",IF(AND(I51="Accepted exception",OR(H51="Critical",H51="High",P51="")),"Invalid exception","Recorded"))))</x:f>
      </x:c>
    </x:row>
    <x:row r="52" ht="52" customHeight="1">
      <x:c r="A52" s="11" t="str"/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  <x:c r="O52" s="11" t="str"/>
      <x:c r="P52" s="11" t="str"/>
      <x:c r="Q52" s="12" t="str">
        <x:f>IF(A52="","",IF(OR(B52="",D52="",E52="",F52="",G52="",H52="",I52="",J52="",K52="",L52=""),"Needs defect details",IF(AND(I52="Closed",OR(N52="",O52="")),"Needs retest evidence",IF(AND(I52="Accepted exception",OR(H52="Critical",H52="High",P52="")),"Invalid exception","Recorded"))))</x:f>
      </x:c>
    </x:row>
    <x:row r="53" ht="52" customHeight="1">
      <x:c r="A53" s="11" t="str"/>
      <x:c r="B53" s="11" t="str"/>
      <x:c r="C53" s="11" t="str"/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  <x:c r="O53" s="11" t="str"/>
      <x:c r="P53" s="11" t="str"/>
      <x:c r="Q53" s="12" t="str">
        <x:f>IF(A53="","",IF(OR(B53="",D53="",E53="",F53="",G53="",H53="",I53="",J53="",K53="",L53=""),"Needs defect details",IF(AND(I53="Closed",OR(N53="",O53="")),"Needs retest evidence",IF(AND(I53="Accepted exception",OR(H53="Critical",H53="High",P53="")),"Invalid exception","Recorded"))))</x:f>
      </x:c>
    </x:row>
    <x:row r="54" ht="52" customHeight="1">
      <x:c r="A54" s="11" t="str"/>
      <x:c r="B54" s="11" t="str"/>
      <x:c r="C54" s="11" t="str"/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  <x:c r="O54" s="11" t="str"/>
      <x:c r="P54" s="11" t="str"/>
      <x:c r="Q54" s="12" t="str">
        <x:f>IF(A54="","",IF(OR(B54="",D54="",E54="",F54="",G54="",H54="",I54="",J54="",K54="",L54=""),"Needs defect details",IF(AND(I54="Closed",OR(N54="",O54="")),"Needs retest evidence",IF(AND(I54="Accepted exception",OR(H54="Critical",H54="High",P54="")),"Invalid exception","Recorded"))))</x:f>
      </x:c>
    </x:row>
    <x:row r="55" ht="52" customHeight="1">
      <x:c r="A55" s="11" t="str"/>
      <x:c r="B55" s="11" t="str"/>
      <x:c r="C55" s="11" t="str"/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  <x:c r="P55" s="11" t="str"/>
      <x:c r="Q55" s="12" t="str">
        <x:f>IF(A55="","",IF(OR(B55="",D55="",E55="",F55="",G55="",H55="",I55="",J55="",K55="",L55=""),"Needs defect details",IF(AND(I55="Closed",OR(N55="",O55="")),"Needs retest evidence",IF(AND(I55="Accepted exception",OR(H55="Critical",H55="High",P55="")),"Invalid exception","Recorded"))))</x:f>
      </x:c>
    </x:row>
    <x:row r="56" ht="52" customHeight="1">
      <x:c r="A56" s="11" t="str"/>
      <x:c r="B56" s="11" t="str"/>
      <x:c r="C56" s="11" t="str"/>
      <x:c r="D56" s="11" t="str"/>
      <x:c r="E56" s="11" t="str"/>
      <x:c r="F56" s="11" t="str"/>
      <x:c r="G56" s="11" t="str"/>
      <x:c r="H56" s="11" t="str"/>
      <x:c r="I56" s="11" t="str"/>
      <x:c r="J56" s="11" t="str"/>
      <x:c r="K56" s="11" t="str"/>
      <x:c r="L56" s="11" t="str"/>
      <x:c r="M56" s="11" t="str"/>
      <x:c r="N56" s="11" t="str"/>
      <x:c r="O56" s="11" t="str"/>
      <x:c r="P56" s="11" t="str"/>
      <x:c r="Q56" s="12" t="str">
        <x:f>IF(A56="","",IF(OR(B56="",D56="",E56="",F56="",G56="",H56="",I56="",J56="",K56="",L56=""),"Needs defect details",IF(AND(I56="Closed",OR(N56="",O56="")),"Needs retest evidence",IF(AND(I56="Accepted exception",OR(H56="Critical",H56="High",P56="")),"Invalid exception","Recorded"))))</x:f>
      </x:c>
    </x:row>
    <x:row r="57" ht="52" customHeight="1">
      <x:c r="A57" s="11" t="str"/>
      <x:c r="B57" s="11" t="str"/>
      <x:c r="C57" s="11" t="str"/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  <x:c r="O57" s="11" t="str"/>
      <x:c r="P57" s="11" t="str"/>
      <x:c r="Q57" s="12" t="str">
        <x:f>IF(A57="","",IF(OR(B57="",D57="",E57="",F57="",G57="",H57="",I57="",J57="",K57="",L57=""),"Needs defect details",IF(AND(I57="Closed",OR(N57="",O57="")),"Needs retest evidence",IF(AND(I57="Accepted exception",OR(H57="Critical",H57="High",P57="")),"Invalid exception","Recorded"))))</x:f>
      </x:c>
    </x:row>
    <x:row r="58" ht="52" customHeight="1">
      <x:c r="A58" s="11" t="str"/>
      <x:c r="B58" s="11" t="str"/>
      <x:c r="C58" s="11" t="str"/>
      <x:c r="D58" s="11" t="str"/>
      <x:c r="E58" s="11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  <x:c r="N58" s="11" t="str"/>
      <x:c r="O58" s="11" t="str"/>
      <x:c r="P58" s="11" t="str"/>
      <x:c r="Q58" s="12" t="str">
        <x:f>IF(A58="","",IF(OR(B58="",D58="",E58="",F58="",G58="",H58="",I58="",J58="",K58="",L58=""),"Needs defect details",IF(AND(I58="Closed",OR(N58="",O58="")),"Needs retest evidence",IF(AND(I58="Accepted exception",OR(H58="Critical",H58="High",P58="")),"Invalid exception","Recorded"))))</x:f>
      </x:c>
    </x:row>
    <x:row r="59" ht="52" customHeight="1">
      <x:c r="A59" s="11" t="str"/>
      <x:c r="B59" s="11" t="str"/>
      <x:c r="C59" s="11" t="str"/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/>
      <x:c r="L59" s="11" t="str"/>
      <x:c r="M59" s="11" t="str"/>
      <x:c r="N59" s="11" t="str"/>
      <x:c r="O59" s="11" t="str"/>
      <x:c r="P59" s="11" t="str"/>
      <x:c r="Q59" s="12" t="str">
        <x:f>IF(A59="","",IF(OR(B59="",D59="",E59="",F59="",G59="",H59="",I59="",J59="",K59="",L59=""),"Needs defect details",IF(AND(I59="Closed",OR(N59="",O59="")),"Needs retest evidence",IF(AND(I59="Accepted exception",OR(H59="Critical",H59="High",P59="")),"Invalid exception","Recorded"))))</x:f>
      </x:c>
    </x:row>
    <x:row r="60" ht="52" customHeight="1">
      <x:c r="A60" s="11" t="str"/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  <x:c r="O60" s="11" t="str"/>
      <x:c r="P60" s="11" t="str"/>
      <x:c r="Q60" s="12" t="str">
        <x:f>IF(A60="","",IF(OR(B60="",D60="",E60="",F60="",G60="",H60="",I60="",J60="",K60="",L60=""),"Needs defect details",IF(AND(I60="Closed",OR(N60="",O60="")),"Needs retest evidence",IF(AND(I60="Accepted exception",OR(H60="Critical",H60="High",P60="")),"Invalid exception","Recorded"))))</x:f>
      </x:c>
    </x:row>
    <x:row r="61" ht="52" customHeight="1">
      <x:c r="A61" s="11" t="str"/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  <x:c r="O61" s="11" t="str"/>
      <x:c r="P61" s="11" t="str"/>
      <x:c r="Q61" s="12" t="str">
        <x:f>IF(A61="","",IF(OR(B61="",D61="",E61="",F61="",G61="",H61="",I61="",J61="",K61="",L61=""),"Needs defect details",IF(AND(I61="Closed",OR(N61="",O61="")),"Needs retest evidence",IF(AND(I61="Accepted exception",OR(H61="Critical",H61="High",P61="")),"Invalid exception","Recorded"))))</x:f>
      </x:c>
    </x:row>
    <x:row r="62" ht="52" customHeight="1">
      <x:c r="A62" s="11" t="str"/>
      <x:c r="B62" s="11" t="str"/>
      <x:c r="C62" s="11" t="str"/>
      <x:c r="D62" s="11" t="str"/>
      <x:c r="E62" s="11" t="str"/>
      <x:c r="F62" s="11" t="str"/>
      <x:c r="G62" s="11" t="str"/>
      <x:c r="H62" s="11" t="str"/>
      <x:c r="I62" s="11" t="str"/>
      <x:c r="J62" s="11" t="str"/>
      <x:c r="K62" s="11" t="str"/>
      <x:c r="L62" s="11" t="str"/>
      <x:c r="M62" s="11" t="str"/>
      <x:c r="N62" s="11" t="str"/>
      <x:c r="O62" s="11" t="str"/>
      <x:c r="P62" s="11" t="str"/>
      <x:c r="Q62" s="12" t="str">
        <x:f>IF(A62="","",IF(OR(B62="",D62="",E62="",F62="",G62="",H62="",I62="",J62="",K62="",L62=""),"Needs defect details",IF(AND(I62="Closed",OR(N62="",O62="")),"Needs retest evidence",IF(AND(I62="Accepted exception",OR(H62="Critical",H62="High",P62="")),"Invalid exception","Recorded"))))</x:f>
      </x:c>
    </x:row>
    <x:row r="63" ht="52" customHeight="1">
      <x:c r="A63" s="11" t="str"/>
      <x:c r="B63" s="11" t="str"/>
      <x:c r="C63" s="11" t="str"/>
      <x:c r="D63" s="11" t="str"/>
      <x:c r="E63" s="11" t="str"/>
      <x:c r="F63" s="11" t="str"/>
      <x:c r="G63" s="11" t="str"/>
      <x:c r="H63" s="11" t="str"/>
      <x:c r="I63" s="11" t="str"/>
      <x:c r="J63" s="11" t="str"/>
      <x:c r="K63" s="11" t="str"/>
      <x:c r="L63" s="11" t="str"/>
      <x:c r="M63" s="11" t="str"/>
      <x:c r="N63" s="11" t="str"/>
      <x:c r="O63" s="11" t="str"/>
      <x:c r="P63" s="11" t="str"/>
      <x:c r="Q63" s="12" t="str">
        <x:f>IF(A63="","",IF(OR(B63="",D63="",E63="",F63="",G63="",H63="",I63="",J63="",K63="",L63=""),"Needs defect details",IF(AND(I63="Closed",OR(N63="",O63="")),"Needs retest evidence",IF(AND(I63="Accepted exception",OR(H63="Critical",H63="High",P63="")),"Invalid exception","Recorded"))))</x:f>
      </x:c>
    </x:row>
    <x:row r="64" ht="52" customHeight="1">
      <x:c r="A64" s="11" t="str"/>
      <x:c r="B64" s="11" t="str"/>
      <x:c r="C64" s="11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  <x:c r="O64" s="11" t="str"/>
      <x:c r="P64" s="11" t="str"/>
      <x:c r="Q64" s="12" t="str">
        <x:f>IF(A64="","",IF(OR(B64="",D64="",E64="",F64="",G64="",H64="",I64="",J64="",K64="",L64=""),"Needs defect details",IF(AND(I64="Closed",OR(N64="",O64="")),"Needs retest evidence",IF(AND(I64="Accepted exception",OR(H64="Critical",H64="High",P64="")),"Invalid exception","Recorded"))))</x:f>
      </x:c>
    </x:row>
    <x:row r="65" ht="52" customHeight="1">
      <x:c r="A65" s="11" t="str"/>
      <x:c r="B65" s="11" t="str"/>
      <x:c r="C65" s="11" t="str"/>
      <x:c r="D65" s="11" t="str"/>
      <x:c r="E65" s="11" t="str"/>
      <x:c r="F65" s="11" t="str"/>
      <x:c r="G65" s="11" t="str"/>
      <x:c r="H65" s="11" t="str"/>
      <x:c r="I65" s="11" t="str"/>
      <x:c r="J65" s="11" t="str"/>
      <x:c r="K65" s="11" t="str"/>
      <x:c r="L65" s="11" t="str"/>
      <x:c r="M65" s="11" t="str"/>
      <x:c r="N65" s="11" t="str"/>
      <x:c r="O65" s="11" t="str"/>
      <x:c r="P65" s="11" t="str"/>
      <x:c r="Q65" s="12" t="str">
        <x:f>IF(A65="","",IF(OR(B65="",D65="",E65="",F65="",G65="",H65="",I65="",J65="",K65="",L65=""),"Needs defect details",IF(AND(I65="Closed",OR(N65="",O65="")),"Needs retest evidence",IF(AND(I65="Accepted exception",OR(H65="Critical",H65="High",P65="")),"Invalid exception","Recorded"))))</x:f>
      </x:c>
    </x:row>
    <x:row r="66" ht="52" customHeight="1">
      <x:c r="A66" s="11" t="str"/>
      <x:c r="B66" s="11" t="str"/>
      <x:c r="C66" s="11" t="str"/>
      <x:c r="D66" s="11" t="str"/>
      <x:c r="E66" s="11" t="str"/>
      <x:c r="F66" s="11" t="str"/>
      <x:c r="G66" s="11" t="str"/>
      <x:c r="H66" s="11" t="str"/>
      <x:c r="I66" s="11" t="str"/>
      <x:c r="J66" s="11" t="str"/>
      <x:c r="K66" s="11" t="str"/>
      <x:c r="L66" s="11" t="str"/>
      <x:c r="M66" s="11" t="str"/>
      <x:c r="N66" s="11" t="str"/>
      <x:c r="O66" s="11" t="str"/>
      <x:c r="P66" s="11" t="str"/>
      <x:c r="Q66" s="12" t="str">
        <x:f>IF(A66="","",IF(OR(B66="",D66="",E66="",F66="",G66="",H66="",I66="",J66="",K66="",L66=""),"Needs defect details",IF(AND(I66="Closed",OR(N66="",O66="")),"Needs retest evidence",IF(AND(I66="Accepted exception",OR(H66="Critical",H66="High",P66="")),"Invalid exception","Recorded"))))</x:f>
      </x:c>
    </x:row>
    <x:row r="67" ht="52" customHeight="1">
      <x:c r="A67" s="11" t="str"/>
      <x:c r="B67" s="11" t="str"/>
      <x:c r="C67" s="11" t="str"/>
      <x:c r="D67" s="11" t="str"/>
      <x:c r="E67" s="11" t="str"/>
      <x:c r="F67" s="11" t="str"/>
      <x:c r="G67" s="11" t="str"/>
      <x:c r="H67" s="11" t="str"/>
      <x:c r="I67" s="11" t="str"/>
      <x:c r="J67" s="11" t="str"/>
      <x:c r="K67" s="11" t="str"/>
      <x:c r="L67" s="11" t="str"/>
      <x:c r="M67" s="11" t="str"/>
      <x:c r="N67" s="11" t="str"/>
      <x:c r="O67" s="11" t="str"/>
      <x:c r="P67" s="11" t="str"/>
      <x:c r="Q67" s="12" t="str">
        <x:f>IF(A67="","",IF(OR(B67="",D67="",E67="",F67="",G67="",H67="",I67="",J67="",K67="",L67=""),"Needs defect details",IF(AND(I67="Closed",OR(N67="",O67="")),"Needs retest evidence",IF(AND(I67="Accepted exception",OR(H67="Critical",H67="High",P67="")),"Invalid exception","Recorded"))))</x:f>
      </x:c>
    </x:row>
    <x:row r="68" ht="52" customHeight="1">
      <x:c r="A68" s="11" t="str"/>
      <x:c r="B68" s="11" t="str"/>
      <x:c r="C68" s="11" t="str"/>
      <x:c r="D68" s="11" t="str"/>
      <x:c r="E68" s="11" t="str"/>
      <x:c r="F68" s="11" t="str"/>
      <x:c r="G68" s="11" t="str"/>
      <x:c r="H68" s="11" t="str"/>
      <x:c r="I68" s="11" t="str"/>
      <x:c r="J68" s="11" t="str"/>
      <x:c r="K68" s="11" t="str"/>
      <x:c r="L68" s="11" t="str"/>
      <x:c r="M68" s="11" t="str"/>
      <x:c r="N68" s="11" t="str"/>
      <x:c r="O68" s="11" t="str"/>
      <x:c r="P68" s="11" t="str"/>
      <x:c r="Q68" s="12" t="str">
        <x:f>IF(A68="","",IF(OR(B68="",D68="",E68="",F68="",G68="",H68="",I68="",J68="",K68="",L68=""),"Needs defect details",IF(AND(I68="Closed",OR(N68="",O68="")),"Needs retest evidence",IF(AND(I68="Accepted exception",OR(H68="Critical",H68="High",P68="")),"Invalid exception","Recorded"))))</x:f>
      </x:c>
    </x:row>
    <x:row r="69" ht="52" customHeight="1">
      <x:c r="A69" s="11" t="str"/>
      <x:c r="B69" s="11" t="str"/>
      <x:c r="C69" s="11" t="str"/>
      <x:c r="D69" s="11" t="str"/>
      <x:c r="E69" s="11" t="str"/>
      <x:c r="F69" s="11" t="str"/>
      <x:c r="G69" s="11" t="str"/>
      <x:c r="H69" s="11" t="str"/>
      <x:c r="I69" s="11" t="str"/>
      <x:c r="J69" s="11" t="str"/>
      <x:c r="K69" s="11" t="str"/>
      <x:c r="L69" s="11" t="str"/>
      <x:c r="M69" s="11" t="str"/>
      <x:c r="N69" s="11" t="str"/>
      <x:c r="O69" s="11" t="str"/>
      <x:c r="P69" s="11" t="str"/>
      <x:c r="Q69" s="12" t="str">
        <x:f>IF(A69="","",IF(OR(B69="",D69="",E69="",F69="",G69="",H69="",I69="",J69="",K69="",L69=""),"Needs defect details",IF(AND(I69="Closed",OR(N69="",O69="")),"Needs retest evidence",IF(AND(I69="Accepted exception",OR(H69="Critical",H69="High",P69="")),"Invalid exception","Recorded"))))</x:f>
      </x:c>
    </x:row>
    <x:row r="70" ht="52" customHeight="1">
      <x:c r="A70" s="11" t="str"/>
      <x:c r="B70" s="11" t="str"/>
      <x:c r="C70" s="11" t="str"/>
      <x:c r="D70" s="11" t="str"/>
      <x:c r="E70" s="11" t="str"/>
      <x:c r="F70" s="11" t="str"/>
      <x:c r="G70" s="11" t="str"/>
      <x:c r="H70" s="11" t="str"/>
      <x:c r="I70" s="11" t="str"/>
      <x:c r="J70" s="11" t="str"/>
      <x:c r="K70" s="11" t="str"/>
      <x:c r="L70" s="11" t="str"/>
      <x:c r="M70" s="11" t="str"/>
      <x:c r="N70" s="11" t="str"/>
      <x:c r="O70" s="11" t="str"/>
      <x:c r="P70" s="11" t="str"/>
      <x:c r="Q70" s="12" t="str">
        <x:f>IF(A70="","",IF(OR(B70="",D70="",E70="",F70="",G70="",H70="",I70="",J70="",K70="",L70=""),"Needs defect details",IF(AND(I70="Closed",OR(N70="",O70="")),"Needs retest evidence",IF(AND(I70="Accepted exception",OR(H70="Critical",H70="High",P70="")),"Invalid exception","Recorded"))))</x:f>
      </x:c>
    </x:row>
    <x:row r="71" ht="52" customHeight="1">
      <x:c r="A71" s="11" t="str"/>
      <x:c r="B71" s="11" t="str"/>
      <x:c r="C71" s="11" t="str"/>
      <x:c r="D71" s="11" t="str"/>
      <x:c r="E71" s="11" t="str"/>
      <x:c r="F71" s="11" t="str"/>
      <x:c r="G71" s="11" t="str"/>
      <x:c r="H71" s="11" t="str"/>
      <x:c r="I71" s="11" t="str"/>
      <x:c r="J71" s="11" t="str"/>
      <x:c r="K71" s="11" t="str"/>
      <x:c r="L71" s="11" t="str"/>
      <x:c r="M71" s="11" t="str"/>
      <x:c r="N71" s="11" t="str"/>
      <x:c r="O71" s="11" t="str"/>
      <x:c r="P71" s="11" t="str"/>
      <x:c r="Q71" s="12" t="str">
        <x:f>IF(A71="","",IF(OR(B71="",D71="",E71="",F71="",G71="",H71="",I71="",J71="",K71="",L71=""),"Needs defect details",IF(AND(I71="Closed",OR(N71="",O71="")),"Needs retest evidence",IF(AND(I71="Accepted exception",OR(H71="Critical",H71="High",P71="")),"Invalid exception","Recorded"))))</x:f>
      </x:c>
    </x:row>
    <x:row r="72" ht="52" customHeight="1">
      <x:c r="A72" s="11" t="str"/>
      <x:c r="B72" s="11" t="str"/>
      <x:c r="C72" s="11" t="str"/>
      <x:c r="D72" s="11" t="str"/>
      <x:c r="E72" s="11" t="str"/>
      <x:c r="F72" s="11" t="str"/>
      <x:c r="G72" s="11" t="str"/>
      <x:c r="H72" s="11" t="str"/>
      <x:c r="I72" s="11" t="str"/>
      <x:c r="J72" s="11" t="str"/>
      <x:c r="K72" s="11" t="str"/>
      <x:c r="L72" s="11" t="str"/>
      <x:c r="M72" s="11" t="str"/>
      <x:c r="N72" s="11" t="str"/>
      <x:c r="O72" s="11" t="str"/>
      <x:c r="P72" s="11" t="str"/>
      <x:c r="Q72" s="12" t="str">
        <x:f>IF(A72="","",IF(OR(B72="",D72="",E72="",F72="",G72="",H72="",I72="",J72="",K72="",L72=""),"Needs defect details",IF(AND(I72="Closed",OR(N72="",O72="")),"Needs retest evidence",IF(AND(I72="Accepted exception",OR(H72="Critical",H72="High",P72="")),"Invalid exception","Recorded"))))</x:f>
      </x:c>
    </x:row>
    <x:row r="73" ht="52" customHeight="1">
      <x:c r="A73" s="11" t="str"/>
      <x:c r="B73" s="11" t="str"/>
      <x:c r="C73" s="11" t="str"/>
      <x:c r="D73" s="11" t="str"/>
      <x:c r="E73" s="11" t="str"/>
      <x:c r="F73" s="11" t="str"/>
      <x:c r="G73" s="11" t="str"/>
      <x:c r="H73" s="11" t="str"/>
      <x:c r="I73" s="11" t="str"/>
      <x:c r="J73" s="11" t="str"/>
      <x:c r="K73" s="11" t="str"/>
      <x:c r="L73" s="11" t="str"/>
      <x:c r="M73" s="11" t="str"/>
      <x:c r="N73" s="11" t="str"/>
      <x:c r="O73" s="11" t="str"/>
      <x:c r="P73" s="11" t="str"/>
      <x:c r="Q73" s="12" t="str">
        <x:f>IF(A73="","",IF(OR(B73="",D73="",E73="",F73="",G73="",H73="",I73="",J73="",K73="",L73=""),"Needs defect details",IF(AND(I73="Closed",OR(N73="",O73="")),"Needs retest evidence",IF(AND(I73="Accepted exception",OR(H73="Critical",H73="High",P73="")),"Invalid exception","Recorded"))))</x:f>
      </x:c>
    </x:row>
    <x:row r="74" ht="52" customHeight="1">
      <x:c r="A74" s="11" t="str"/>
      <x:c r="B74" s="11" t="str"/>
      <x:c r="C74" s="11" t="str"/>
      <x:c r="D74" s="11" t="str"/>
      <x:c r="E74" s="11" t="str"/>
      <x:c r="F74" s="11" t="str"/>
      <x:c r="G74" s="11" t="str"/>
      <x:c r="H74" s="11" t="str"/>
      <x:c r="I74" s="11" t="str"/>
      <x:c r="J74" s="11" t="str"/>
      <x:c r="K74" s="11" t="str"/>
      <x:c r="L74" s="11" t="str"/>
      <x:c r="M74" s="11" t="str"/>
      <x:c r="N74" s="11" t="str"/>
      <x:c r="O74" s="11" t="str"/>
      <x:c r="P74" s="11" t="str"/>
      <x:c r="Q74" s="12" t="str">
        <x:f>IF(A74="","",IF(OR(B74="",D74="",E74="",F74="",G74="",H74="",I74="",J74="",K74="",L74=""),"Needs defect details",IF(AND(I74="Closed",OR(N74="",O74="")),"Needs retest evidence",IF(AND(I74="Accepted exception",OR(H74="Critical",H74="High",P74="")),"Invalid exception","Recorded"))))</x:f>
      </x:c>
    </x:row>
    <x:row r="75" ht="52" customHeight="1">
      <x:c r="A75" s="11" t="str"/>
      <x:c r="B75" s="11" t="str"/>
      <x:c r="C75" s="11" t="str"/>
      <x:c r="D75" s="11" t="str"/>
      <x:c r="E75" s="11" t="str"/>
      <x:c r="F75" s="11" t="str"/>
      <x:c r="G75" s="11" t="str"/>
      <x:c r="H75" s="11" t="str"/>
      <x:c r="I75" s="11" t="str"/>
      <x:c r="J75" s="11" t="str"/>
      <x:c r="K75" s="11" t="str"/>
      <x:c r="L75" s="11" t="str"/>
      <x:c r="M75" s="11" t="str"/>
      <x:c r="N75" s="11" t="str"/>
      <x:c r="O75" s="11" t="str"/>
      <x:c r="P75" s="11" t="str"/>
      <x:c r="Q75" s="12" t="str">
        <x:f>IF(A75="","",IF(OR(B75="",D75="",E75="",F75="",G75="",H75="",I75="",J75="",K75="",L75=""),"Needs defect details",IF(AND(I75="Closed",OR(N75="",O75="")),"Needs retest evidence",IF(AND(I75="Accepted exception",OR(H75="Critical",H75="High",P75="")),"Invalid exception","Recorded"))))</x:f>
      </x:c>
    </x:row>
    <x:row r="76" ht="52" customHeight="1">
      <x:c r="A76" s="11" t="str"/>
      <x:c r="B76" s="11" t="str"/>
      <x:c r="C76" s="11" t="str"/>
      <x:c r="D76" s="11" t="str"/>
      <x:c r="E76" s="11" t="str"/>
      <x:c r="F76" s="11" t="str"/>
      <x:c r="G76" s="11" t="str"/>
      <x:c r="H76" s="11" t="str"/>
      <x:c r="I76" s="11" t="str"/>
      <x:c r="J76" s="11" t="str"/>
      <x:c r="K76" s="11" t="str"/>
      <x:c r="L76" s="11" t="str"/>
      <x:c r="M76" s="11" t="str"/>
      <x:c r="N76" s="11" t="str"/>
      <x:c r="O76" s="11" t="str"/>
      <x:c r="P76" s="11" t="str"/>
      <x:c r="Q76" s="12" t="str">
        <x:f>IF(A76="","",IF(OR(B76="",D76="",E76="",F76="",G76="",H76="",I76="",J76="",K76="",L76=""),"Needs defect details",IF(AND(I76="Closed",OR(N76="",O76="")),"Needs retest evidence",IF(AND(I76="Accepted exception",OR(H76="Critical",H76="High",P76="")),"Invalid exception","Recorded"))))</x:f>
      </x:c>
    </x:row>
    <x:row r="77" ht="52" customHeight="1">
      <x:c r="A77" s="11" t="str"/>
      <x:c r="B77" s="11" t="str"/>
      <x:c r="C77" s="11" t="str"/>
      <x:c r="D77" s="11" t="str"/>
      <x:c r="E77" s="11" t="str"/>
      <x:c r="F77" s="11" t="str"/>
      <x:c r="G77" s="11" t="str"/>
      <x:c r="H77" s="11" t="str"/>
      <x:c r="I77" s="11" t="str"/>
      <x:c r="J77" s="11" t="str"/>
      <x:c r="K77" s="11" t="str"/>
      <x:c r="L77" s="11" t="str"/>
      <x:c r="M77" s="11" t="str"/>
      <x:c r="N77" s="11" t="str"/>
      <x:c r="O77" s="11" t="str"/>
      <x:c r="P77" s="11" t="str"/>
      <x:c r="Q77" s="12" t="str">
        <x:f>IF(A77="","",IF(OR(B77="",D77="",E77="",F77="",G77="",H77="",I77="",J77="",K77="",L77=""),"Needs defect details",IF(AND(I77="Closed",OR(N77="",O77="")),"Needs retest evidence",IF(AND(I77="Accepted exception",OR(H77="Critical",H77="High",P77="")),"Invalid exception","Recorded"))))</x:f>
      </x:c>
    </x:row>
    <x:row r="78" ht="52" customHeight="1">
      <x:c r="A78" s="11" t="str"/>
      <x:c r="B78" s="11" t="str"/>
      <x:c r="C78" s="11" t="str"/>
      <x:c r="D78" s="11" t="str"/>
      <x:c r="E78" s="11" t="str"/>
      <x:c r="F78" s="11" t="str"/>
      <x:c r="G78" s="11" t="str"/>
      <x:c r="H78" s="11" t="str"/>
      <x:c r="I78" s="11" t="str"/>
      <x:c r="J78" s="11" t="str"/>
      <x:c r="K78" s="11" t="str"/>
      <x:c r="L78" s="11" t="str"/>
      <x:c r="M78" s="11" t="str"/>
      <x:c r="N78" s="11" t="str"/>
      <x:c r="O78" s="11" t="str"/>
      <x:c r="P78" s="11" t="str"/>
      <x:c r="Q78" s="12" t="str">
        <x:f>IF(A78="","",IF(OR(B78="",D78="",E78="",F78="",G78="",H78="",I78="",J78="",K78="",L78=""),"Needs defect details",IF(AND(I78="Closed",OR(N78="",O78="")),"Needs retest evidence",IF(AND(I78="Accepted exception",OR(H78="Critical",H78="High",P78="")),"Invalid exception","Recorded"))))</x:f>
      </x:c>
    </x:row>
    <x:row r="79" ht="52" customHeight="1">
      <x:c r="A79" s="11" t="str"/>
      <x:c r="B79" s="11" t="str"/>
      <x:c r="C79" s="11" t="str"/>
      <x:c r="D79" s="11" t="str"/>
      <x:c r="E79" s="11" t="str"/>
      <x:c r="F79" s="11" t="str"/>
      <x:c r="G79" s="11" t="str"/>
      <x:c r="H79" s="11" t="str"/>
      <x:c r="I79" s="11" t="str"/>
      <x:c r="J79" s="11" t="str"/>
      <x:c r="K79" s="11" t="str"/>
      <x:c r="L79" s="11" t="str"/>
      <x:c r="M79" s="11" t="str"/>
      <x:c r="N79" s="11" t="str"/>
      <x:c r="O79" s="11" t="str"/>
      <x:c r="P79" s="11" t="str"/>
      <x:c r="Q79" s="12" t="str">
        <x:f>IF(A79="","",IF(OR(B79="",D79="",E79="",F79="",G79="",H79="",I79="",J79="",K79="",L79=""),"Needs defect details",IF(AND(I79="Closed",OR(N79="",O79="")),"Needs retest evidence",IF(AND(I79="Accepted exception",OR(H79="Critical",H79="High",P79="")),"Invalid exception","Recorded"))))</x:f>
      </x:c>
    </x:row>
    <x:row r="80" ht="52" customHeight="1">
      <x:c r="A80" s="11" t="str"/>
      <x:c r="B80" s="11" t="str"/>
      <x:c r="C80" s="11" t="str"/>
      <x:c r="D80" s="11" t="str"/>
      <x:c r="E80" s="11" t="str"/>
      <x:c r="F80" s="11" t="str"/>
      <x:c r="G80" s="11" t="str"/>
      <x:c r="H80" s="11" t="str"/>
      <x:c r="I80" s="11" t="str"/>
      <x:c r="J80" s="11" t="str"/>
      <x:c r="K80" s="11" t="str"/>
      <x:c r="L80" s="11" t="str"/>
      <x:c r="M80" s="11" t="str"/>
      <x:c r="N80" s="11" t="str"/>
      <x:c r="O80" s="11" t="str"/>
      <x:c r="P80" s="11" t="str"/>
      <x:c r="Q80" s="12" t="str">
        <x:f>IF(A80="","",IF(OR(B80="",D80="",E80="",F80="",G80="",H80="",I80="",J80="",K80="",L80=""),"Needs defect details",IF(AND(I80="Closed",OR(N80="",O80="")),"Needs retest evidence",IF(AND(I80="Accepted exception",OR(H80="Critical",H80="High",P80="")),"Invalid exception","Recorded"))))</x:f>
      </x:c>
    </x:row>
    <x:row r="81" ht="52" customHeight="1">
      <x:c r="A81" s="11" t="str"/>
      <x:c r="B81" s="11" t="str"/>
      <x:c r="C81" s="11" t="str"/>
      <x:c r="D81" s="11" t="str"/>
      <x:c r="E81" s="11" t="str"/>
      <x:c r="F81" s="11" t="str"/>
      <x:c r="G81" s="11" t="str"/>
      <x:c r="H81" s="11" t="str"/>
      <x:c r="I81" s="11" t="str"/>
      <x:c r="J81" s="11" t="str"/>
      <x:c r="K81" s="11" t="str"/>
      <x:c r="L81" s="11" t="str"/>
      <x:c r="M81" s="11" t="str"/>
      <x:c r="N81" s="11" t="str"/>
      <x:c r="O81" s="11" t="str"/>
      <x:c r="P81" s="11" t="str"/>
      <x:c r="Q81" s="12" t="str">
        <x:f>IF(A81="","",IF(OR(B81="",D81="",E81="",F81="",G81="",H81="",I81="",J81="",K81="",L81=""),"Needs defect details",IF(AND(I81="Closed",OR(N81="",O81="")),"Needs retest evidence",IF(AND(I81="Accepted exception",OR(H81="Critical",H81="High",P81="")),"Invalid exception","Recorded"))))</x:f>
      </x:c>
    </x:row>
    <x:row r="82" ht="52" customHeight="1">
      <x:c r="A82" s="11" t="str"/>
      <x:c r="B82" s="11" t="str"/>
      <x:c r="C82" s="11" t="str"/>
      <x:c r="D82" s="11" t="str"/>
      <x:c r="E82" s="11" t="str"/>
      <x:c r="F82" s="11" t="str"/>
      <x:c r="G82" s="11" t="str"/>
      <x:c r="H82" s="11" t="str"/>
      <x:c r="I82" s="11" t="str"/>
      <x:c r="J82" s="11" t="str"/>
      <x:c r="K82" s="11" t="str"/>
      <x:c r="L82" s="11" t="str"/>
      <x:c r="M82" s="11" t="str"/>
      <x:c r="N82" s="11" t="str"/>
      <x:c r="O82" s="11" t="str"/>
      <x:c r="P82" s="11" t="str"/>
      <x:c r="Q82" s="12" t="str">
        <x:f>IF(A82="","",IF(OR(B82="",D82="",E82="",F82="",G82="",H82="",I82="",J82="",K82="",L82=""),"Needs defect details",IF(AND(I82="Closed",OR(N82="",O82="")),"Needs retest evidence",IF(AND(I82="Accepted exception",OR(H82="Critical",H82="High",P82="")),"Invalid exception","Recorded"))))</x:f>
      </x:c>
    </x:row>
    <x:row r="83" ht="52" customHeight="1">
      <x:c r="A83" s="11" t="str"/>
      <x:c r="B83" s="11" t="str"/>
      <x:c r="C83" s="11" t="str"/>
      <x:c r="D83" s="11" t="str"/>
      <x:c r="E83" s="11" t="str"/>
      <x:c r="F83" s="11" t="str"/>
      <x:c r="G83" s="11" t="str"/>
      <x:c r="H83" s="11" t="str"/>
      <x:c r="I83" s="11" t="str"/>
      <x:c r="J83" s="11" t="str"/>
      <x:c r="K83" s="11" t="str"/>
      <x:c r="L83" s="11" t="str"/>
      <x:c r="M83" s="11" t="str"/>
      <x:c r="N83" s="11" t="str"/>
      <x:c r="O83" s="11" t="str"/>
      <x:c r="P83" s="11" t="str"/>
      <x:c r="Q83" s="12" t="str">
        <x:f>IF(A83="","",IF(OR(B83="",D83="",E83="",F83="",G83="",H83="",I83="",J83="",K83="",L83=""),"Needs defect details",IF(AND(I83="Closed",OR(N83="",O83="")),"Needs retest evidence",IF(AND(I83="Accepted exception",OR(H83="Critical",H83="High",P83="")),"Invalid exception","Recorded"))))</x:f>
      </x:c>
    </x:row>
    <x:row r="84" ht="52" customHeight="1">
      <x:c r="A84" s="11" t="str"/>
      <x:c r="B84" s="11" t="str"/>
      <x:c r="C84" s="11" t="str"/>
      <x:c r="D84" s="11" t="str"/>
      <x:c r="E84" s="11" t="str"/>
      <x:c r="F84" s="11" t="str"/>
      <x:c r="G84" s="11" t="str"/>
      <x:c r="H84" s="11" t="str"/>
      <x:c r="I84" s="11" t="str"/>
      <x:c r="J84" s="11" t="str"/>
      <x:c r="K84" s="11" t="str"/>
      <x:c r="L84" s="11" t="str"/>
      <x:c r="M84" s="11" t="str"/>
      <x:c r="N84" s="11" t="str"/>
      <x:c r="O84" s="11" t="str"/>
      <x:c r="P84" s="11" t="str"/>
      <x:c r="Q84" s="12" t="str">
        <x:f>IF(A84="","",IF(OR(B84="",D84="",E84="",F84="",G84="",H84="",I84="",J84="",K84="",L84=""),"Needs defect details",IF(AND(I84="Closed",OR(N84="",O84="")),"Needs retest evidence",IF(AND(I84="Accepted exception",OR(H84="Critical",H84="High",P84="")),"Invalid exception","Recorded"))))</x:f>
      </x:c>
    </x:row>
    <x:row r="85" ht="52" customHeight="1">
      <x:c r="A85" s="11" t="str"/>
      <x:c r="B85" s="11" t="str"/>
      <x:c r="C85" s="11" t="str"/>
      <x:c r="D85" s="11" t="str"/>
      <x:c r="E85" s="11" t="str"/>
      <x:c r="F85" s="11" t="str"/>
      <x:c r="G85" s="11" t="str"/>
      <x:c r="H85" s="11" t="str"/>
      <x:c r="I85" s="11" t="str"/>
      <x:c r="J85" s="11" t="str"/>
      <x:c r="K85" s="11" t="str"/>
      <x:c r="L85" s="11" t="str"/>
      <x:c r="M85" s="11" t="str"/>
      <x:c r="N85" s="11" t="str"/>
      <x:c r="O85" s="11" t="str"/>
      <x:c r="P85" s="11" t="str"/>
      <x:c r="Q85" s="12" t="str">
        <x:f>IF(A85="","",IF(OR(B85="",D85="",E85="",F85="",G85="",H85="",I85="",J85="",K85="",L85=""),"Needs defect details",IF(AND(I85="Closed",OR(N85="",O85="")),"Needs retest evidence",IF(AND(I85="Accepted exception",OR(H85="Critical",H85="High",P85="")),"Invalid exception","Recorded"))))</x:f>
      </x:c>
    </x:row>
    <x:row r="86" ht="52" customHeight="1">
      <x:c r="A86" s="11" t="str"/>
      <x:c r="B86" s="11" t="str"/>
      <x:c r="C86" s="11" t="str"/>
      <x:c r="D86" s="11" t="str"/>
      <x:c r="E86" s="11" t="str"/>
      <x:c r="F86" s="11" t="str"/>
      <x:c r="G86" s="11" t="str"/>
      <x:c r="H86" s="11" t="str"/>
      <x:c r="I86" s="11" t="str"/>
      <x:c r="J86" s="11" t="str"/>
      <x:c r="K86" s="11" t="str"/>
      <x:c r="L86" s="11" t="str"/>
      <x:c r="M86" s="11" t="str"/>
      <x:c r="N86" s="11" t="str"/>
      <x:c r="O86" s="11" t="str"/>
      <x:c r="P86" s="11" t="str"/>
      <x:c r="Q86" s="12" t="str">
        <x:f>IF(A86="","",IF(OR(B86="",D86="",E86="",F86="",G86="",H86="",I86="",J86="",K86="",L86=""),"Needs defect details",IF(AND(I86="Closed",OR(N86="",O86="")),"Needs retest evidence",IF(AND(I86="Accepted exception",OR(H86="Critical",H86="High",P86="")),"Invalid exception","Recorded"))))</x:f>
      </x:c>
    </x:row>
    <x:row r="87" ht="52" customHeight="1">
      <x:c r="A87" s="11" t="str"/>
      <x:c r="B87" s="11" t="str"/>
      <x:c r="C87" s="11" t="str"/>
      <x:c r="D87" s="11" t="str"/>
      <x:c r="E87" s="11" t="str"/>
      <x:c r="F87" s="11" t="str"/>
      <x:c r="G87" s="11" t="str"/>
      <x:c r="H87" s="11" t="str"/>
      <x:c r="I87" s="11" t="str"/>
      <x:c r="J87" s="11" t="str"/>
      <x:c r="K87" s="11" t="str"/>
      <x:c r="L87" s="11" t="str"/>
      <x:c r="M87" s="11" t="str"/>
      <x:c r="N87" s="11" t="str"/>
      <x:c r="O87" s="11" t="str"/>
      <x:c r="P87" s="11" t="str"/>
      <x:c r="Q87" s="12" t="str">
        <x:f>IF(A87="","",IF(OR(B87="",D87="",E87="",F87="",G87="",H87="",I87="",J87="",K87="",L87=""),"Needs defect details",IF(AND(I87="Closed",OR(N87="",O87="")),"Needs retest evidence",IF(AND(I87="Accepted exception",OR(H87="Critical",H87="High",P87="")),"Invalid exception","Recorded"))))</x:f>
      </x:c>
    </x:row>
    <x:row r="88" ht="52" customHeight="1">
      <x:c r="A88" s="11" t="str"/>
      <x:c r="B88" s="11" t="str"/>
      <x:c r="C88" s="11" t="str"/>
      <x:c r="D88" s="11" t="str"/>
      <x:c r="E88" s="11" t="str"/>
      <x:c r="F88" s="11" t="str"/>
      <x:c r="G88" s="11" t="str"/>
      <x:c r="H88" s="11" t="str"/>
      <x:c r="I88" s="11" t="str"/>
      <x:c r="J88" s="11" t="str"/>
      <x:c r="K88" s="11" t="str"/>
      <x:c r="L88" s="11" t="str"/>
      <x:c r="M88" s="11" t="str"/>
      <x:c r="N88" s="11" t="str"/>
      <x:c r="O88" s="11" t="str"/>
      <x:c r="P88" s="11" t="str"/>
      <x:c r="Q88" s="12" t="str">
        <x:f>IF(A88="","",IF(OR(B88="",D88="",E88="",F88="",G88="",H88="",I88="",J88="",K88="",L88=""),"Needs defect details",IF(AND(I88="Closed",OR(N88="",O88="")),"Needs retest evidence",IF(AND(I88="Accepted exception",OR(H88="Critical",H88="High",P88="")),"Invalid exception","Recorded"))))</x:f>
      </x:c>
    </x:row>
    <x:row r="89" ht="52" customHeight="1">
      <x:c r="A89" s="11" t="str"/>
      <x:c r="B89" s="11" t="str"/>
      <x:c r="C89" s="11" t="str"/>
      <x:c r="D89" s="11" t="str"/>
      <x:c r="E89" s="11" t="str"/>
      <x:c r="F89" s="11" t="str"/>
      <x:c r="G89" s="11" t="str"/>
      <x:c r="H89" s="11" t="str"/>
      <x:c r="I89" s="11" t="str"/>
      <x:c r="J89" s="11" t="str"/>
      <x:c r="K89" s="11" t="str"/>
      <x:c r="L89" s="11" t="str"/>
      <x:c r="M89" s="11" t="str"/>
      <x:c r="N89" s="11" t="str"/>
      <x:c r="O89" s="11" t="str"/>
      <x:c r="P89" s="11" t="str"/>
      <x:c r="Q89" s="12" t="str">
        <x:f>IF(A89="","",IF(OR(B89="",D89="",E89="",F89="",G89="",H89="",I89="",J89="",K89="",L89=""),"Needs defect details",IF(AND(I89="Closed",OR(N89="",O89="")),"Needs retest evidence",IF(AND(I89="Accepted exception",OR(H89="Critical",H89="High",P89="")),"Invalid exception","Recorded"))))</x:f>
      </x:c>
    </x:row>
    <x:row r="90" ht="52" customHeight="1">
      <x:c r="A90" s="11" t="str"/>
      <x:c r="B90" s="11" t="str"/>
      <x:c r="C90" s="11" t="str"/>
      <x:c r="D90" s="11" t="str"/>
      <x:c r="E90" s="11" t="str"/>
      <x:c r="F90" s="11" t="str"/>
      <x:c r="G90" s="11" t="str"/>
      <x:c r="H90" s="11" t="str"/>
      <x:c r="I90" s="11" t="str"/>
      <x:c r="J90" s="11" t="str"/>
      <x:c r="K90" s="11" t="str"/>
      <x:c r="L90" s="11" t="str"/>
      <x:c r="M90" s="11" t="str"/>
      <x:c r="N90" s="11" t="str"/>
      <x:c r="O90" s="11" t="str"/>
      <x:c r="P90" s="11" t="str"/>
      <x:c r="Q90" s="12" t="str">
        <x:f>IF(A90="","",IF(OR(B90="",D90="",E90="",F90="",G90="",H90="",I90="",J90="",K90="",L90=""),"Needs defect details",IF(AND(I90="Closed",OR(N90="",O90="")),"Needs retest evidence",IF(AND(I90="Accepted exception",OR(H90="Critical",H90="High",P90="")),"Invalid exception","Recorded"))))</x:f>
      </x:c>
    </x:row>
    <x:row r="91" ht="52" customHeight="1">
      <x:c r="A91" s="11" t="str"/>
      <x:c r="B91" s="11" t="str"/>
      <x:c r="C91" s="11" t="str"/>
      <x:c r="D91" s="11" t="str"/>
      <x:c r="E91" s="11" t="str"/>
      <x:c r="F91" s="11" t="str"/>
      <x:c r="G91" s="11" t="str"/>
      <x:c r="H91" s="11" t="str"/>
      <x:c r="I91" s="11" t="str"/>
      <x:c r="J91" s="11" t="str"/>
      <x:c r="K91" s="11" t="str"/>
      <x:c r="L91" s="11" t="str"/>
      <x:c r="M91" s="11" t="str"/>
      <x:c r="N91" s="11" t="str"/>
      <x:c r="O91" s="11" t="str"/>
      <x:c r="P91" s="11" t="str"/>
      <x:c r="Q91" s="12" t="str">
        <x:f>IF(A91="","",IF(OR(B91="",D91="",E91="",F91="",G91="",H91="",I91="",J91="",K91="",L91=""),"Needs defect details",IF(AND(I91="Closed",OR(N91="",O91="")),"Needs retest evidence",IF(AND(I91="Accepted exception",OR(H91="Critical",H91="High",P91="")),"Invalid exception","Recorded"))))</x:f>
      </x:c>
    </x:row>
    <x:row r="92" ht="52" customHeight="1">
      <x:c r="A92" s="11" t="str"/>
      <x:c r="B92" s="11" t="str"/>
      <x:c r="C92" s="11" t="str"/>
      <x:c r="D92" s="11" t="str"/>
      <x:c r="E92" s="11" t="str"/>
      <x:c r="F92" s="11" t="str"/>
      <x:c r="G92" s="11" t="str"/>
      <x:c r="H92" s="11" t="str"/>
      <x:c r="I92" s="11" t="str"/>
      <x:c r="J92" s="11" t="str"/>
      <x:c r="K92" s="11" t="str"/>
      <x:c r="L92" s="11" t="str"/>
      <x:c r="M92" s="11" t="str"/>
      <x:c r="N92" s="11" t="str"/>
      <x:c r="O92" s="11" t="str"/>
      <x:c r="P92" s="11" t="str"/>
      <x:c r="Q92" s="12" t="str">
        <x:f>IF(A92="","",IF(OR(B92="",D92="",E92="",F92="",G92="",H92="",I92="",J92="",K92="",L92=""),"Needs defect details",IF(AND(I92="Closed",OR(N92="",O92="")),"Needs retest evidence",IF(AND(I92="Accepted exception",OR(H92="Critical",H92="High",P92="")),"Invalid exception","Recorded"))))</x:f>
      </x:c>
    </x:row>
    <x:row r="93" ht="52" customHeight="1">
      <x:c r="A93" s="11" t="str"/>
      <x:c r="B93" s="11" t="str"/>
      <x:c r="C93" s="11" t="str"/>
      <x:c r="D93" s="11" t="str"/>
      <x:c r="E93" s="11" t="str"/>
      <x:c r="F93" s="11" t="str"/>
      <x:c r="G93" s="11" t="str"/>
      <x:c r="H93" s="11" t="str"/>
      <x:c r="I93" s="11" t="str"/>
      <x:c r="J93" s="11" t="str"/>
      <x:c r="K93" s="11" t="str"/>
      <x:c r="L93" s="11" t="str"/>
      <x:c r="M93" s="11" t="str"/>
      <x:c r="N93" s="11" t="str"/>
      <x:c r="O93" s="11" t="str"/>
      <x:c r="P93" s="11" t="str"/>
      <x:c r="Q93" s="12" t="str">
        <x:f>IF(A93="","",IF(OR(B93="",D93="",E93="",F93="",G93="",H93="",I93="",J93="",K93="",L93=""),"Needs defect details",IF(AND(I93="Closed",OR(N93="",O93="")),"Needs retest evidence",IF(AND(I93="Accepted exception",OR(H93="Critical",H93="High",P93="")),"Invalid exception","Recorded"))))</x:f>
      </x:c>
    </x:row>
    <x:row r="94" ht="52" customHeight="1">
      <x:c r="A94" s="11" t="str"/>
      <x:c r="B94" s="11" t="str"/>
      <x:c r="C94" s="11" t="str"/>
      <x:c r="D94" s="11" t="str"/>
      <x:c r="E94" s="11" t="str"/>
      <x:c r="F94" s="11" t="str"/>
      <x:c r="G94" s="11" t="str"/>
      <x:c r="H94" s="11" t="str"/>
      <x:c r="I94" s="11" t="str"/>
      <x:c r="J94" s="11" t="str"/>
      <x:c r="K94" s="11" t="str"/>
      <x:c r="L94" s="11" t="str"/>
      <x:c r="M94" s="11" t="str"/>
      <x:c r="N94" s="11" t="str"/>
      <x:c r="O94" s="11" t="str"/>
      <x:c r="P94" s="11" t="str"/>
      <x:c r="Q94" s="12" t="str">
        <x:f>IF(A94="","",IF(OR(B94="",D94="",E94="",F94="",G94="",H94="",I94="",J94="",K94="",L94=""),"Needs defect details",IF(AND(I94="Closed",OR(N94="",O94="")),"Needs retest evidence",IF(AND(I94="Accepted exception",OR(H94="Critical",H94="High",P94="")),"Invalid exception","Recorded"))))</x:f>
      </x:c>
    </x:row>
    <x:row r="95" ht="52" customHeight="1">
      <x:c r="A95" s="11" t="str"/>
      <x:c r="B95" s="11" t="str"/>
      <x:c r="C95" s="11" t="str"/>
      <x:c r="D95" s="11" t="str"/>
      <x:c r="E95" s="11" t="str"/>
      <x:c r="F95" s="11" t="str"/>
      <x:c r="G95" s="11" t="str"/>
      <x:c r="H95" s="11" t="str"/>
      <x:c r="I95" s="11" t="str"/>
      <x:c r="J95" s="11" t="str"/>
      <x:c r="K95" s="11" t="str"/>
      <x:c r="L95" s="11" t="str"/>
      <x:c r="M95" s="11" t="str"/>
      <x:c r="N95" s="11" t="str"/>
      <x:c r="O95" s="11" t="str"/>
      <x:c r="P95" s="11" t="str"/>
      <x:c r="Q95" s="12" t="str">
        <x:f>IF(A95="","",IF(OR(B95="",D95="",E95="",F95="",G95="",H95="",I95="",J95="",K95="",L95=""),"Needs defect details",IF(AND(I95="Closed",OR(N95="",O95="")),"Needs retest evidence",IF(AND(I95="Accepted exception",OR(H95="Critical",H95="High",P95="")),"Invalid exception","Recorded"))))</x:f>
      </x:c>
    </x:row>
    <x:row r="96" ht="52" customHeight="1">
      <x:c r="A96" s="11" t="str"/>
      <x:c r="B96" s="11" t="str"/>
      <x:c r="C96" s="11" t="str"/>
      <x:c r="D96" s="11" t="str"/>
      <x:c r="E96" s="11" t="str"/>
      <x:c r="F96" s="11" t="str"/>
      <x:c r="G96" s="11" t="str"/>
      <x:c r="H96" s="11" t="str"/>
      <x:c r="I96" s="11" t="str"/>
      <x:c r="J96" s="11" t="str"/>
      <x:c r="K96" s="11" t="str"/>
      <x:c r="L96" s="11" t="str"/>
      <x:c r="M96" s="11" t="str"/>
      <x:c r="N96" s="11" t="str"/>
      <x:c r="O96" s="11" t="str"/>
      <x:c r="P96" s="11" t="str"/>
      <x:c r="Q96" s="12" t="str">
        <x:f>IF(A96="","",IF(OR(B96="",D96="",E96="",F96="",G96="",H96="",I96="",J96="",K96="",L96=""),"Needs defect details",IF(AND(I96="Closed",OR(N96="",O96="")),"Needs retest evidence",IF(AND(I96="Accepted exception",OR(H96="Critical",H96="High",P96="")),"Invalid exception","Recorded"))))</x:f>
      </x:c>
    </x:row>
    <x:row r="97" ht="52" customHeight="1">
      <x:c r="A97" s="11" t="str"/>
      <x:c r="B97" s="11" t="str"/>
      <x:c r="C97" s="11" t="str"/>
      <x:c r="D97" s="11" t="str"/>
      <x:c r="E97" s="11" t="str"/>
      <x:c r="F97" s="11" t="str"/>
      <x:c r="G97" s="11" t="str"/>
      <x:c r="H97" s="11" t="str"/>
      <x:c r="I97" s="11" t="str"/>
      <x:c r="J97" s="11" t="str"/>
      <x:c r="K97" s="11" t="str"/>
      <x:c r="L97" s="11" t="str"/>
      <x:c r="M97" s="11" t="str"/>
      <x:c r="N97" s="11" t="str"/>
      <x:c r="O97" s="11" t="str"/>
      <x:c r="P97" s="11" t="str"/>
      <x:c r="Q97" s="12" t="str">
        <x:f>IF(A97="","",IF(OR(B97="",D97="",E97="",F97="",G97="",H97="",I97="",J97="",K97="",L97=""),"Needs defect details",IF(AND(I97="Closed",OR(N97="",O97="")),"Needs retest evidence",IF(AND(I97="Accepted exception",OR(H97="Critical",H97="High",P97="")),"Invalid exception","Recorded"))))</x:f>
      </x:c>
    </x:row>
    <x:row r="98" ht="52" customHeight="1">
      <x:c r="A98" s="11" t="str"/>
      <x:c r="B98" s="11" t="str"/>
      <x:c r="C98" s="11" t="str"/>
      <x:c r="D98" s="11" t="str"/>
      <x:c r="E98" s="11" t="str"/>
      <x:c r="F98" s="11" t="str"/>
      <x:c r="G98" s="11" t="str"/>
      <x:c r="H98" s="11" t="str"/>
      <x:c r="I98" s="11" t="str"/>
      <x:c r="J98" s="11" t="str"/>
      <x:c r="K98" s="11" t="str"/>
      <x:c r="L98" s="11" t="str"/>
      <x:c r="M98" s="11" t="str"/>
      <x:c r="N98" s="11" t="str"/>
      <x:c r="O98" s="11" t="str"/>
      <x:c r="P98" s="11" t="str"/>
      <x:c r="Q98" s="12" t="str">
        <x:f>IF(A98="","",IF(OR(B98="",D98="",E98="",F98="",G98="",H98="",I98="",J98="",K98="",L98=""),"Needs defect details",IF(AND(I98="Closed",OR(N98="",O98="")),"Needs retest evidence",IF(AND(I98="Accepted exception",OR(H98="Critical",H98="High",P98="")),"Invalid exception","Recorded"))))</x:f>
      </x:c>
    </x:row>
    <x:row r="99" ht="52" customHeight="1">
      <x:c r="A99" s="11" t="str"/>
      <x:c r="B99" s="11" t="str"/>
      <x:c r="C99" s="11" t="str"/>
      <x:c r="D99" s="11" t="str"/>
      <x:c r="E99" s="11" t="str"/>
      <x:c r="F99" s="11" t="str"/>
      <x:c r="G99" s="11" t="str"/>
      <x:c r="H99" s="11" t="str"/>
      <x:c r="I99" s="11" t="str"/>
      <x:c r="J99" s="11" t="str"/>
      <x:c r="K99" s="11" t="str"/>
      <x:c r="L99" s="11" t="str"/>
      <x:c r="M99" s="11" t="str"/>
      <x:c r="N99" s="11" t="str"/>
      <x:c r="O99" s="11" t="str"/>
      <x:c r="P99" s="11" t="str"/>
      <x:c r="Q99" s="12" t="str">
        <x:f>IF(A99="","",IF(OR(B99="",D99="",E99="",F99="",G99="",H99="",I99="",J99="",K99="",L99=""),"Needs defect details",IF(AND(I99="Closed",OR(N99="",O99="")),"Needs retest evidence",IF(AND(I99="Accepted exception",OR(H99="Critical",H99="High",P99="")),"Invalid exception","Recorded"))))</x:f>
      </x:c>
    </x:row>
    <x:row r="100" ht="52" customHeight="1">
      <x:c r="A100" s="11" t="str"/>
      <x:c r="B100" s="11" t="str"/>
      <x:c r="C100" s="11" t="str"/>
      <x:c r="D100" s="11" t="str"/>
      <x:c r="E100" s="11" t="str"/>
      <x:c r="F100" s="11" t="str"/>
      <x:c r="G100" s="11" t="str"/>
      <x:c r="H100" s="11" t="str"/>
      <x:c r="I100" s="11" t="str"/>
      <x:c r="J100" s="11" t="str"/>
      <x:c r="K100" s="11" t="str"/>
      <x:c r="L100" s="11" t="str"/>
      <x:c r="M100" s="11" t="str"/>
      <x:c r="N100" s="11" t="str"/>
      <x:c r="O100" s="11" t="str"/>
      <x:c r="P100" s="11" t="str"/>
      <x:c r="Q100" s="12" t="str">
        <x:f>IF(A100="","",IF(OR(B100="",D100="",E100="",F100="",G100="",H100="",I100="",J100="",K100="",L100=""),"Needs defect details",IF(AND(I100="Closed",OR(N100="",O100="")),"Needs retest evidence",IF(AND(I100="Accepted exception",OR(H100="Critical",H100="High",P100="")),"Invalid exception","Recorded"))))</x:f>
      </x:c>
    </x:row>
    <x:row r="101" ht="52" customHeight="1">
      <x:c r="A101" s="11" t="str"/>
      <x:c r="B101" s="11" t="str"/>
      <x:c r="C101" s="11" t="str"/>
      <x:c r="D101" s="11" t="str"/>
      <x:c r="E101" s="11" t="str"/>
      <x:c r="F101" s="11" t="str"/>
      <x:c r="G101" s="11" t="str"/>
      <x:c r="H101" s="11" t="str"/>
      <x:c r="I101" s="11" t="str"/>
      <x:c r="J101" s="11" t="str"/>
      <x:c r="K101" s="11" t="str"/>
      <x:c r="L101" s="11" t="str"/>
      <x:c r="M101" s="11" t="str"/>
      <x:c r="N101" s="11" t="str"/>
      <x:c r="O101" s="11" t="str"/>
      <x:c r="P101" s="11" t="str"/>
      <x:c r="Q101" s="12" t="str">
        <x:f>IF(A101="","",IF(OR(B101="",D101="",E101="",F101="",G101="",H101="",I101="",J101="",K101="",L101=""),"Needs defect details",IF(AND(I101="Closed",OR(N101="",O101="")),"Needs retest evidence",IF(AND(I101="Accepted exception",OR(H101="Critical",H101="High",P101="")),"Invalid exception","Recorded"))))</x:f>
      </x:c>
    </x:row>
    <x:row r="102" ht="52" customHeight="1">
      <x:c r="A102" s="11" t="str"/>
      <x:c r="B102" s="11" t="str"/>
      <x:c r="C102" s="11" t="str"/>
      <x:c r="D102" s="11" t="str"/>
      <x:c r="E102" s="11" t="str"/>
      <x:c r="F102" s="11" t="str"/>
      <x:c r="G102" s="11" t="str"/>
      <x:c r="H102" s="11" t="str"/>
      <x:c r="I102" s="11" t="str"/>
      <x:c r="J102" s="11" t="str"/>
      <x:c r="K102" s="11" t="str"/>
      <x:c r="L102" s="11" t="str"/>
      <x:c r="M102" s="11" t="str"/>
      <x:c r="N102" s="11" t="str"/>
      <x:c r="O102" s="11" t="str"/>
      <x:c r="P102" s="11" t="str"/>
      <x:c r="Q102" s="12" t="str">
        <x:f>IF(A102="","",IF(OR(B102="",D102="",E102="",F102="",G102="",H102="",I102="",J102="",K102="",L102=""),"Needs defect details",IF(AND(I102="Closed",OR(N102="",O102="")),"Needs retest evidence",IF(AND(I102="Accepted exception",OR(H102="Critical",H102="High",P102="")),"Invalid exception","Recorded"))))</x:f>
      </x:c>
    </x:row>
    <x:row r="103" ht="52" customHeight="1">
      <x:c r="A103" s="11" t="str"/>
      <x:c r="B103" s="11" t="str"/>
      <x:c r="C103" s="11" t="str"/>
      <x:c r="D103" s="11" t="str"/>
      <x:c r="E103" s="11" t="str"/>
      <x:c r="F103" s="11" t="str"/>
      <x:c r="G103" s="11" t="str"/>
      <x:c r="H103" s="11" t="str"/>
      <x:c r="I103" s="11" t="str"/>
      <x:c r="J103" s="11" t="str"/>
      <x:c r="K103" s="11" t="str"/>
      <x:c r="L103" s="11" t="str"/>
      <x:c r="M103" s="11" t="str"/>
      <x:c r="N103" s="11" t="str"/>
      <x:c r="O103" s="11" t="str"/>
      <x:c r="P103" s="11" t="str"/>
      <x:c r="Q103" s="12" t="str">
        <x:f>IF(A103="","",IF(OR(B103="",D103="",E103="",F103="",G103="",H103="",I103="",J103="",K103="",L103=""),"Needs defect details",IF(AND(I103="Closed",OR(N103="",O103="")),"Needs retest evidence",IF(AND(I103="Accepted exception",OR(H103="Critical",H103="High",P103="")),"Invalid exception","Recorded"))))</x:f>
      </x:c>
    </x:row>
    <x:row r="104" ht="52" customHeight="1">
      <x:c r="A104" s="11" t="str"/>
      <x:c r="B104" s="11" t="str"/>
      <x:c r="C104" s="11" t="str"/>
      <x:c r="D104" s="11" t="str"/>
      <x:c r="E104" s="11" t="str"/>
      <x:c r="F104" s="11" t="str"/>
      <x:c r="G104" s="11" t="str"/>
      <x:c r="H104" s="11" t="str"/>
      <x:c r="I104" s="11" t="str"/>
      <x:c r="J104" s="11" t="str"/>
      <x:c r="K104" s="11" t="str"/>
      <x:c r="L104" s="11" t="str"/>
      <x:c r="M104" s="11" t="str"/>
      <x:c r="N104" s="11" t="str"/>
      <x:c r="O104" s="11" t="str"/>
      <x:c r="P104" s="11" t="str"/>
      <x:c r="Q104" s="12" t="str">
        <x:f>IF(A104="","",IF(OR(B104="",D104="",E104="",F104="",G104="",H104="",I104="",J104="",K104="",L104=""),"Needs defect details",IF(AND(I104="Closed",OR(N104="",O104="")),"Needs retest evidence",IF(AND(I104="Accepted exception",OR(H104="Critical",H104="High",P104="")),"Invalid exception","Recorded"))))</x:f>
      </x:c>
    </x:row>
  </x:sheetData>
  <x:dataValidations count="2">
    <x:dataValidation type="list" sqref="H5:H104">
      <x:formula1>"Critical,High,Medium,Low"</x:formula1>
    </x:dataValidation>
    <x:dataValidation type="list" sqref="I5:I104">
      <x:formula1>"New,In progress,Ready for retest,Closed,Accepted exception"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a7317913da433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34" hidden="0" customWidth="1"/>
    <x:col min="5" max="5" width="60" hidden="0" customWidth="1"/>
    <x:col min="6" max="6" width="65" hidden="0" customWidth="1"/>
    <x:col min="7" max="7" width="75" hidden="0" customWidth="1"/>
    <x:col min="8" max="8" width="65" hidden="0" customWidth="1"/>
    <x:col min="9" max="9" width="22" hidden="0" customWidth="1"/>
    <x:col min="10" max="10" width="50" hidden="0" customWidth="1"/>
    <x:col min="11" max="11" width="18" hidden="0" customWidth="1"/>
    <x:col min="12" max="12" width="28" hidden="0" customWidth="1"/>
    <x:col min="13" max="13" width="28" hidden="0" customWidth="1"/>
    <x:col min="14" max="14" width="30" hidden="0" customWidth="1"/>
    <x:col min="15" max="15" width="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UX and Upgrades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6" customHeight="1">
      <x:c r="A4" s="8" t="str">
        <x:v>Upgrade ID</x:v>
      </x:c>
      <x:c r="B4" s="8" t="str">
        <x:v>Module / page</x:v>
      </x:c>
      <x:c r="C4" s="8" t="str">
        <x:v>Observed problem</x:v>
      </x:c>
      <x:c r="D4" s="8" t="str">
        <x:v>Affected users</x:v>
      </x:c>
      <x:c r="E4" s="8" t="str">
        <x:v>Evidence / frequency</x:v>
      </x:c>
      <x:c r="F4" s="8" t="str">
        <x:v>Current time / clicks / workaround</x:v>
      </x:c>
      <x:c r="G4" s="8" t="str">
        <x:v>Proposed improvement</x:v>
      </x:c>
      <x:c r="H4" s="8" t="str">
        <x:v>Expected measurable benefit</x:v>
      </x:c>
      <x:c r="I4" s="8" t="str">
        <x:v>Effort</x:v>
      </x:c>
      <x:c r="J4" s="8" t="str">
        <x:v>Dependencies</x:v>
      </x:c>
      <x:c r="K4" s="8" t="str">
        <x:v>Priority</x:v>
      </x:c>
      <x:c r="L4" s="8" t="str">
        <x:v>Owner</x:v>
      </x:c>
      <x:c r="M4" s="8" t="str">
        <x:v>Decision</x:v>
      </x:c>
      <x:c r="N4" s="8" t="str">
        <x:v>Linked case / defect</x:v>
      </x:c>
      <x:c r="O4" s="8" t="str">
        <x:v>Outcome / measurement</x:v>
      </x:c>
    </x:row>
    <x:row r="5" ht="52" customHeight="1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</x:row>
    <x:row r="6" ht="52" customHeight="1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</x:row>
    <x:row r="7" ht="52" customHeight="1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</x:row>
    <x:row r="8" ht="52" customHeight="1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</x:row>
    <x:row r="9" ht="52" customHeight="1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</x:row>
    <x:row r="10" ht="52" customHeight="1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</x:row>
    <x:row r="11" ht="52" customHeight="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</x:row>
    <x:row r="12" ht="52" customHeight="1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</x:row>
    <x:row r="13" ht="52" customHeight="1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</x:row>
    <x:row r="14" ht="52" customHeight="1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</x:row>
    <x:row r="15" ht="52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</x:row>
    <x:row r="16" ht="52" customHeight="1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</x:row>
    <x:row r="17" ht="52" customHeight="1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</x:row>
    <x:row r="18" ht="52" customHeight="1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</x:row>
    <x:row r="19" ht="52" customHeight="1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</x:row>
    <x:row r="20" ht="52" customHeight="1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</x:row>
    <x:row r="21" ht="52" customHeight="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</x:row>
    <x:row r="22" ht="52" customHeight="1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</x:row>
    <x:row r="23" ht="52" customHeight="1">
      <x:c r="A23" s="11" t="str"/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</x:row>
    <x:row r="24" ht="52" customHeight="1">
      <x:c r="A24" s="11" t="str"/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</x:row>
    <x:row r="25" ht="52" customHeight="1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</x:row>
    <x:row r="26" ht="52" customHeight="1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</x:row>
    <x:row r="27" ht="52" customHeight="1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</x:row>
    <x:row r="28" ht="52" customHeight="1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</x:row>
    <x:row r="29" ht="52" customHeight="1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</x:row>
    <x:row r="30" ht="52" customHeight="1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</x:row>
    <x:row r="31" ht="52" customHeight="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</x:row>
    <x:row r="32" ht="52" customHeight="1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</x:row>
    <x:row r="33" ht="52" customHeight="1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</x:row>
    <x:row r="34" ht="52" customHeight="1">
      <x:c r="A34" s="11" t="str"/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</x:row>
    <x:row r="35" ht="52" customHeight="1">
      <x:c r="A35" s="11" t="str"/>
      <x:c r="B35" s="11" t="str"/>
      <x:c r="C35" s="11" t="str"/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</x:row>
    <x:row r="36" ht="52" customHeight="1">
      <x:c r="A36" s="11" t="str"/>
      <x:c r="B36" s="11" t="str"/>
      <x:c r="C36" s="11" t="str"/>
      <x:c r="D36" s="11" t="str"/>
      <x:c r="E36" s="11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</x:row>
    <x:row r="37" ht="52" customHeight="1">
      <x:c r="A37" s="11" t="str"/>
      <x:c r="B37" s="11" t="str"/>
      <x:c r="C37" s="11" t="str"/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</x:row>
    <x:row r="38" ht="52" customHeight="1">
      <x:c r="A38" s="11" t="str"/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</x:row>
    <x:row r="39" ht="52" customHeight="1">
      <x:c r="A39" s="11" t="str"/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</x:row>
    <x:row r="40" ht="52" customHeight="1">
      <x:c r="A40" s="11" t="str"/>
      <x:c r="B40" s="11" t="str"/>
      <x:c r="C40" s="11" t="str"/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</x:row>
    <x:row r="41" ht="52" customHeight="1">
      <x:c r="A41" s="11" t="str"/>
      <x:c r="B41" s="11" t="str"/>
      <x:c r="C41" s="11" t="str"/>
      <x:c r="D41" s="11" t="str"/>
      <x:c r="E41" s="11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</x:row>
    <x:row r="42" ht="52" customHeight="1">
      <x:c r="A42" s="11" t="str"/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</x:row>
    <x:row r="43" ht="52" customHeight="1">
      <x:c r="A43" s="11" t="str"/>
      <x:c r="B43" s="11" t="str"/>
      <x:c r="C43" s="11" t="str"/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</x:row>
    <x:row r="44" ht="52" customHeight="1">
      <x:c r="A44" s="11" t="str"/>
      <x:c r="B44" s="11" t="str"/>
      <x:c r="C44" s="11" t="str"/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</x:row>
    <x:row r="45" ht="52" customHeight="1">
      <x:c r="A45" s="11" t="str"/>
      <x:c r="B45" s="11" t="str"/>
      <x:c r="C45" s="11" t="str"/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</x:row>
    <x:row r="46" ht="52" customHeight="1">
      <x:c r="A46" s="11" t="str"/>
      <x:c r="B46" s="11" t="str"/>
      <x:c r="C46" s="11" t="str"/>
      <x:c r="D46" s="11" t="str"/>
      <x:c r="E46" s="11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</x:row>
    <x:row r="47" ht="52" customHeight="1">
      <x:c r="A47" s="11" t="str"/>
      <x:c r="B47" s="11" t="str"/>
      <x:c r="C47" s="11" t="str"/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</x:row>
    <x:row r="48" ht="52" customHeight="1">
      <x:c r="A48" s="11" t="str"/>
      <x:c r="B48" s="11" t="str"/>
      <x:c r="C48" s="11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</x:row>
    <x:row r="49" ht="52" customHeight="1">
      <x:c r="A49" s="11" t="str"/>
      <x:c r="B49" s="11" t="str"/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  <x:c r="O49" s="11" t="str"/>
    </x:row>
    <x:row r="50" ht="52" customHeight="1">
      <x:c r="A50" s="11" t="str"/>
      <x:c r="B50" s="11" t="str"/>
      <x:c r="C50" s="11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  <x:c r="O50" s="11" t="str"/>
    </x:row>
    <x:row r="51" ht="52" customHeight="1">
      <x:c r="A51" s="11" t="str"/>
      <x:c r="B51" s="11" t="str"/>
      <x:c r="C51" s="11" t="str"/>
      <x:c r="D51" s="11" t="str"/>
      <x:c r="E51" s="11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  <x:c r="O51" s="11" t="str"/>
    </x:row>
    <x:row r="52" ht="52" customHeight="1">
      <x:c r="A52" s="11" t="str"/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  <x:c r="O52" s="11" t="str"/>
    </x:row>
    <x:row r="53" ht="52" customHeight="1">
      <x:c r="A53" s="11" t="str"/>
      <x:c r="B53" s="11" t="str"/>
      <x:c r="C53" s="11" t="str"/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  <x:c r="O53" s="11" t="str"/>
    </x:row>
    <x:row r="54" ht="52" customHeight="1">
      <x:c r="A54" s="11" t="str"/>
      <x:c r="B54" s="11" t="str"/>
      <x:c r="C54" s="11" t="str"/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  <x:c r="O54" s="11" t="str"/>
    </x:row>
    <x:row r="55" ht="52" customHeight="1">
      <x:c r="A55" s="11" t="str"/>
      <x:c r="B55" s="11" t="str"/>
      <x:c r="C55" s="11" t="str"/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</x:row>
    <x:row r="56" ht="52" customHeight="1">
      <x:c r="A56" s="11" t="str"/>
      <x:c r="B56" s="11" t="str"/>
      <x:c r="C56" s="11" t="str"/>
      <x:c r="D56" s="11" t="str"/>
      <x:c r="E56" s="11" t="str"/>
      <x:c r="F56" s="11" t="str"/>
      <x:c r="G56" s="11" t="str"/>
      <x:c r="H56" s="11" t="str"/>
      <x:c r="I56" s="11" t="str"/>
      <x:c r="J56" s="11" t="str"/>
      <x:c r="K56" s="11" t="str"/>
      <x:c r="L56" s="11" t="str"/>
      <x:c r="M56" s="11" t="str"/>
      <x:c r="N56" s="11" t="str"/>
      <x:c r="O56" s="11" t="str"/>
    </x:row>
    <x:row r="57" ht="52" customHeight="1">
      <x:c r="A57" s="11" t="str"/>
      <x:c r="B57" s="11" t="str"/>
      <x:c r="C57" s="11" t="str"/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  <x:c r="O57" s="11" t="str"/>
    </x:row>
    <x:row r="58" ht="52" customHeight="1">
      <x:c r="A58" s="11" t="str"/>
      <x:c r="B58" s="11" t="str"/>
      <x:c r="C58" s="11" t="str"/>
      <x:c r="D58" s="11" t="str"/>
      <x:c r="E58" s="11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  <x:c r="N58" s="11" t="str"/>
      <x:c r="O58" s="11" t="str"/>
    </x:row>
    <x:row r="59" ht="52" customHeight="1">
      <x:c r="A59" s="11" t="str"/>
      <x:c r="B59" s="11" t="str"/>
      <x:c r="C59" s="11" t="str"/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/>
      <x:c r="L59" s="11" t="str"/>
      <x:c r="M59" s="11" t="str"/>
      <x:c r="N59" s="11" t="str"/>
      <x:c r="O59" s="11" t="str"/>
    </x:row>
    <x:row r="60" ht="52" customHeight="1">
      <x:c r="A60" s="11" t="str"/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  <x:c r="O60" s="11" t="str"/>
    </x:row>
    <x:row r="61" ht="52" customHeight="1">
      <x:c r="A61" s="11" t="str"/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  <x:c r="O61" s="11" t="str"/>
    </x:row>
    <x:row r="62" ht="52" customHeight="1">
      <x:c r="A62" s="11" t="str"/>
      <x:c r="B62" s="11" t="str"/>
      <x:c r="C62" s="11" t="str"/>
      <x:c r="D62" s="11" t="str"/>
      <x:c r="E62" s="11" t="str"/>
      <x:c r="F62" s="11" t="str"/>
      <x:c r="G62" s="11" t="str"/>
      <x:c r="H62" s="11" t="str"/>
      <x:c r="I62" s="11" t="str"/>
      <x:c r="J62" s="11" t="str"/>
      <x:c r="K62" s="11" t="str"/>
      <x:c r="L62" s="11" t="str"/>
      <x:c r="M62" s="11" t="str"/>
      <x:c r="N62" s="11" t="str"/>
      <x:c r="O62" s="11" t="str"/>
    </x:row>
    <x:row r="63" ht="52" customHeight="1">
      <x:c r="A63" s="11" t="str"/>
      <x:c r="B63" s="11" t="str"/>
      <x:c r="C63" s="11" t="str"/>
      <x:c r="D63" s="11" t="str"/>
      <x:c r="E63" s="11" t="str"/>
      <x:c r="F63" s="11" t="str"/>
      <x:c r="G63" s="11" t="str"/>
      <x:c r="H63" s="11" t="str"/>
      <x:c r="I63" s="11" t="str"/>
      <x:c r="J63" s="11" t="str"/>
      <x:c r="K63" s="11" t="str"/>
      <x:c r="L63" s="11" t="str"/>
      <x:c r="M63" s="11" t="str"/>
      <x:c r="N63" s="11" t="str"/>
      <x:c r="O63" s="11" t="str"/>
    </x:row>
    <x:row r="64" ht="52" customHeight="1">
      <x:c r="A64" s="11" t="str"/>
      <x:c r="B64" s="11" t="str"/>
      <x:c r="C64" s="11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  <x:c r="O64" s="11" t="str"/>
    </x:row>
  </x:sheetData>
  <x:dataValidations count="3">
    <x:dataValidation type="list" sqref="I5:I64">
      <x:formula1>"Small,Medium,Large,Needs estimate"</x:formula1>
    </x:dataValidation>
    <x:dataValidation type="list" sqref="K5:K64">
      <x:formula1>"P0,P1,P2"</x:formula1>
    </x:dataValidation>
    <x:dataValidation type="list" sqref="M5:M64">
      <x:formula1>"Proposed,Investigate,Approved,Deferred,Rejected,Implemented"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41124b94bb4fba"/>
  </x:tableParts>
</x:worksheet>
</file>

<file path=xl/worksheets/sheet7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100" hidden="0" customWidth="1"/>
  </x:cols>
  <x:sheetData>
    <x:row r="1">
      <x:c r="A1" s="1"/>
      <x:c r="B1" s="1"/>
      <x:c r="C1" s="1"/>
    </x:row>
    <x:row r="2">
      <x:c r="A2" s="2" t="str">
        <x:v>Summary and Sign-off</x:v>
      </x:c>
      <x:c r="B2" s="1"/>
      <x:c r="C2" s="1"/>
    </x:row>
    <x:row r="3">
      <x:c r="A3" s="3"/>
      <x:c r="B3" s="3"/>
      <x:c r="C3" s="3"/>
    </x:row>
    <x:row r="4" ht="36" customHeight="1">
      <x:c r="A4" s="8" t="str">
        <x:v>Metric</x:v>
      </x:c>
      <x:c r="B4" s="8" t="str">
        <x:v>Current result</x:v>
      </x:c>
      <x:c r="C4" s="8" t="str">
        <x:v>Acceptance meaning</x:v>
      </x:c>
    </x:row>
    <x:row r="5" ht="40" customHeight="1">
      <x:c r="A5" s="10" t="str">
        <x:v>Total test cases</x:v>
      </x:c>
      <x:c r="B5" s="12" t="n">
        <x:f>COUNTIFS('Test Cases'!A5:A10000,"&lt;&gt;")</x:f>
        <x:v>591</x:v>
      </x:c>
      <x:c r="C5" s="10" t="str">
        <x:v>All registered cases; exclusions remain in total.</x:v>
      </x:c>
    </x:row>
    <x:row r="6" ht="40" customHeight="1">
      <x:c r="A6" s="10" t="str">
        <x:v>Pass</x:v>
      </x:c>
      <x:c r="B6" s="12" t="n">
        <x:f>COUNTIFS('Test Cases'!A5:A10000,"&lt;&gt;",'Test Cases'!L5:L10000,"Pass")</x:f>
        <x:v>0</x:v>
      </x:c>
      <x:c r="C6" s="10" t="str">
        <x:v>Current case status, not historic execution count.</x:v>
      </x:c>
    </x:row>
    <x:row r="7" ht="40" customHeight="1">
      <x:c r="A7" s="10" t="str">
        <x:v>Fail</x:v>
      </x:c>
      <x:c r="B7" s="12" t="n">
        <x:f>COUNTIFS('Test Cases'!A5:A10000,"&lt;&gt;",'Test Cases'!L5:L10000,"Fail")</x:f>
        <x:v>0</x:v>
      </x:c>
      <x:c r="C7" s="10" t="str">
        <x:v>Current case status, not historic execution count.</x:v>
      </x:c>
    </x:row>
    <x:row r="8" ht="40" customHeight="1">
      <x:c r="A8" s="10" t="str">
        <x:v>Not run</x:v>
      </x:c>
      <x:c r="B8" s="12" t="n">
        <x:f>COUNTIFS('Test Cases'!A5:A10000,"&lt;&gt;",'Test Cases'!L5:L10000,"Not run")</x:f>
        <x:v>591</x:v>
      </x:c>
      <x:c r="C8" s="10" t="str">
        <x:v>Current case status, not historic execution count.</x:v>
      </x:c>
    </x:row>
    <x:row r="9" ht="40" customHeight="1">
      <x:c r="A9" s="10" t="str">
        <x:v>Blocked</x:v>
      </x:c>
      <x:c r="B9" s="12" t="n">
        <x:f>COUNTIFS('Test Cases'!A5:A10000,"&lt;&gt;",'Test Cases'!L5:L10000,"Blocked")</x:f>
        <x:v>0</x:v>
      </x:c>
      <x:c r="C9" s="10" t="str">
        <x:v>Current case status, not historic execution count.</x:v>
      </x:c>
    </x:row>
    <x:row r="10" ht="40" customHeight="1">
      <x:c r="A10" s="10" t="str">
        <x:v>Not deployed</x:v>
      </x:c>
      <x:c r="B10" s="12" t="n">
        <x:f>COUNTIFS('Test Cases'!A5:A10000,"&lt;&gt;",'Test Cases'!L5:L10000,"Not deployed")</x:f>
        <x:v>0</x:v>
      </x:c>
      <x:c r="C10" s="10" t="str">
        <x:v>Current case status, not historic execution count.</x:v>
      </x:c>
    </x:row>
    <x:row r="11" ht="40" customHeight="1">
      <x:c r="A11" s="10" t="str">
        <x:v>Not applicable</x:v>
      </x:c>
      <x:c r="B11" s="12" t="n">
        <x:f>COUNTIFS('Test Cases'!A5:A10000,"&lt;&gt;",'Test Cases'!L5:L10000,"Not applicable")</x:f>
        <x:v>0</x:v>
      </x:c>
      <x:c r="C11" s="10" t="str">
        <x:v>Current case status, not historic execution count.</x:v>
      </x:c>
    </x:row>
    <x:row r="12" ht="40" customHeight="1">
      <x:c r="A12" s="10" t="str">
        <x:v>Missing result/evidence/reason</x:v>
      </x:c>
      <x:c r="B12" s="12" t="n">
        <x:f>COUNTIFS('Test Cases'!V5:V10000,"Needs*")</x:f>
        <x:v>0</x:v>
      </x:c>
      <x:c r="C12" s="10" t="str">
        <x:v>Pass/Fail need result, evidence and tester/date/build; exclusions need explanation.</x:v>
      </x:c>
    </x:row>
    <x:row r="13" ht="40" customHeight="1">
      <x:c r="A13" s="10" t="str">
        <x:v>P0/P1 cases not passed</x:v>
      </x:c>
      <x:c r="B13" s="12" t="n">
        <x:f>COUNTIFS('Test Cases'!A5:A10000,"&lt;&gt;",'Test Cases'!F5:F10000,"P0",'Test Cases'!L5:L10000,"&lt;&gt;Pass")+COUNTIFS('Test Cases'!A5:A10000,"&lt;&gt;",'Test Cases'!F5:F10000,"P1",'Test Cases'!L5:L10000,"&lt;&gt;Pass")</x:f>
        <x:v>519</x:v>
      </x:c>
      <x:c r="C13" s="10" t="str">
        <x:v>Includes blocked, excluded, undeployed and unrun critical/core cases.</x:v>
      </x:c>
    </x:row>
    <x:row r="14" ht="40" customHeight="1">
      <x:c r="A14" s="10" t="str">
        <x:v>Invalid or missing statuses</x:v>
      </x:c>
      <x:c r="B14" s="12" t="n">
        <x:f>B5-SUM(B6:B11)</x:f>
        <x:v>0</x:v>
      </x:c>
      <x:c r="C14" s="10" t="str">
        <x:v>Every case must use one of six statuses.</x:v>
      </x:c>
    </x:row>
    <x:row r="15" ht="40" customHeight="1">
      <x:c r="A15" s="10" t="str">
        <x:v>Journey count</x:v>
      </x:c>
      <x:c r="B15" s="12" t="n">
        <x:f>COUNTIFS('End-to-End Journeys'!A5:A10000,"&lt;&gt;")</x:f>
        <x:v>12</x:v>
      </x:c>
      <x:c r="C15" s="10" t="str">
        <x:v>Complete journeys recorded independently.</x:v>
      </x:c>
    </x:row>
    <x:row r="16" ht="40" customHeight="1">
      <x:c r="A16" s="10" t="str">
        <x:v>Journeys not passed</x:v>
      </x:c>
      <x:c r="B16" s="12" t="n">
        <x:f>COUNTIFS('End-to-End Journeys'!A5:A10000,"&lt;&gt;",'End-to-End Journeys'!H5:H10000,"&lt;&gt;Pass")</x:f>
        <x:v>12</x:v>
      </x:c>
      <x:c r="C16" s="10" t="str">
        <x:v>Any exclusion requires explicit owner scope resolution and prevents blanket readiness.</x:v>
      </x:c>
    </x:row>
    <x:row r="17" ht="40" customHeight="1">
      <x:c r="A17" s="10" t="str">
        <x:v>Journey evidence gaps</x:v>
      </x:c>
      <x:c r="B17" s="12" t="n">
        <x:f>COUNTIFS('End-to-End Journeys'!P5:P10000,"Needs*")</x:f>
        <x:v>0</x:v>
      </x:c>
      <x:c r="C17" s="10" t="str">
        <x:v>Do not infer complete flow from individual case passes.</x:v>
      </x:c>
    </x:row>
    <x:row r="18" ht="40" customHeight="1">
      <x:c r="A18" s="10" t="str">
        <x:v>Inventory entries</x:v>
      </x:c>
      <x:c r="B18" s="12" t="n">
        <x:f>COUNTIFS('Coverage Inventory'!A5:A10000,"&lt;&gt;")</x:f>
        <x:v>341</x:v>
      </x:c>
      <x:c r="C18" s="10" t="str">
        <x:v>Source inventory must be reconciled against deployed controls and dependencies.</x:v>
      </x:c>
    </x:row>
    <x:row r="19" ht="40" customHeight="1">
      <x:c r="A19" s="10" t="str">
        <x:v>Inventory not reviewed</x:v>
      </x:c>
      <x:c r="B19" s="12" t="n">
        <x:f>COUNTIFS('Coverage Inventory'!A5:A10000,"&lt;&gt;",'Coverage Inventory'!J5:J10000,"&lt;&gt;Reviewed")</x:f>
        <x:v>341</x:v>
      </x:c>
      <x:c r="C19" s="10" t="str">
        <x:v>Review must include data flow mapping, controls and test IDs.</x:v>
      </x:c>
    </x:row>
    <x:row r="20" ht="40" customHeight="1">
      <x:c r="A20" s="10" t="str">
        <x:v>Open Critical/High defects</x:v>
      </x:c>
      <x:c r="B20" s="12" t="n">
        <x:f>COUNTIFS(Defects!A5:A10000,"&lt;&gt;",Defects!H5:H10000,"Critical",Defects!I5:I10000,"&lt;&gt;Closed")+COUNTIFS(Defects!A5:A10000,"&lt;&gt;",Defects!H5:H10000,"High",Defects!I5:I10000,"&lt;&gt;Closed")</x:f>
        <x:v>0</x:v>
      </x:c>
      <x:c r="C20" s="10" t="str">
        <x:v>Accepted Critical/High exceptions still block. Closed requires retest evidence.</x:v>
      </x:c>
    </x:row>
    <x:row r="21" ht="40" customHeight="1">
      <x:c r="A21" s="10" t="str">
        <x:v>Open Medium/Low defects</x:v>
      </x:c>
      <x:c r="B21" s="12" t="n">
        <x:f>COUNTIFS(Defects!A5:A10000,"&lt;&gt;",Defects!H5:H10000,"Medium",Defects!I5:I10000,"&lt;&gt;Closed",Defects!I5:I10000,"&lt;&gt;Accepted exception")+COUNTIFS(Defects!A5:A10000,"&lt;&gt;",Defects!H5:H10000,"Low",Defects!I5:I10000,"&lt;&gt;Closed",Defects!I5:I10000,"&lt;&gt;Accepted exception")</x:f>
        <x:v>0</x:v>
      </x:c>
      <x:c r="C21" s="10" t="str">
        <x:v>Resolve or obtain named lower-severity exception.</x:v>
      </x:c>
    </x:row>
    <x:row r="22" ht="40" customHeight="1">
      <x:c r="A22" s="10" t="str">
        <x:v>Defect record gaps</x:v>
      </x:c>
      <x:c r="B22" s="12" t="n">
        <x:f>COUNTIFS(Defects!Q5:Q10000,"Needs*")+COUNTIFS(Defects!Q5:Q10000,"Invalid*")</x:f>
        <x:v>0</x:v>
      </x:c>
      <x:c r="C22" s="10" t="str">
        <x:v>Complete reproduction/owner/build/evidence and retest/exception prerequisites.</x:v>
      </x:c>
    </x:row>
    <x:row r="23" ht="40" customHeight="1">
      <x:c r="A23" s="10" t="str">
        <x:v>Critical prerequisite gates incomplete</x:v>
      </x:c>
      <x:c r="B23" s="12" t="n">
        <x:f>COUNTIFS('Start Here'!B16:B19,"&lt;&gt;Complete")</x:f>
        <x:v>4</x:v>
      </x:c>
      <x:c r="C23" s="10" t="str">
        <x:v>Scope, cleanup, human/device acceptance and isolated technical gates.</x:v>
      </x:c>
    </x:row>
    <x:row r="24" ht="40" customHeight="1">
      <x:c r="A24" s="10" t="str">
        <x:v>Run identity missing</x:v>
      </x:c>
      <x:c r="B24" s="12" t="n">
        <x:f>IF(OR('Start Here'!B6="",'Start Here'!B9="",'Start Here'!B8="",'Start Here'!B21=""),1,0)</x:f>
        <x:v>1</x:v>
      </x:c>
      <x:c r="C24" s="10" t="str">
        <x:v>Required release, tester/run/date and owner details.</x:v>
      </x:c>
    </x:row>
    <x:row r="25" ht="40" customHeight="1">
      <x:c r="A25" s="10" t="str">
        <x:v>Recorded-case pass rate</x:v>
      </x:c>
      <x:c r="B25" s="17" t="n">
        <x:f>IF(B5=0,"n.a.",B6/B5)</x:f>
        <x:v>0</x:v>
      </x:c>
      <x:c r="C25" s="10" t="str">
        <x:v>Pass divided by every registered case; exclusions never inflate the rate.</x:v>
      </x:c>
    </x:row>
    <x:row r="26">
      <x:c r="B26" s="18"/>
    </x:row>
    <x:row r="27">
      <x:c r="B27" s="18"/>
    </x:row>
    <x:row r="28" ht="54" customHeight="1">
      <x:c r="A28" s="16" t="str">
        <x:v>Evidence recommendation</x:v>
      </x:c>
      <x:c r="B28" s="19" t="str">
        <x:f>IF(AND(B5&gt;0,B6=B5,B12=0,B13=0,B14=0,B15&gt;0,B16=0,B17=0,B18&gt;0,B19=0,B20=0,B21=0,B22=0,B23=0,B24=0),"Eligible for owner review","Not ready")</x:f>
        <x:v>Not ready</x:v>
      </x:c>
      <x:c r="C28" s="15" t="str">
        <x:v>Any failed, blocked, undeployed or unrun case remains visible; approved scope changes need a revised inventory.</x:v>
      </x:c>
    </x:row>
    <x:row r="29" ht="54" customHeight="1">
      <x:c r="A29" s="16" t="str">
        <x:v>Owner sign-off</x:v>
      </x:c>
      <x:c r="B29" s="19" t="str">
        <x:f>'Start Here'!B20</x:f>
        <x:v>Pending</x:v>
      </x:c>
      <x:c r="C29" s="15" t="str">
        <x:v>Only owner may approve after assessing current release evidence.</x:v>
      </x:c>
    </x:row>
    <x:row r="30" ht="54" customHeight="1">
      <x:c r="A30" s="16" t="str">
        <x:v>Release decision</x:v>
      </x:c>
      <x:c r="B30" s="19" t="str">
        <x:f>IF(AND(B28="Eligible for owner review",B29="Approved"),"Ready","Not ready")</x:f>
        <x:v>Not ready</x:v>
      </x:c>
      <x:c r="C30" s="15" t="str">
        <x:v>Computed from evidence prerequisites plus explicit owner approval.</x:v>
      </x:c>
    </x:row>
    <x:row r="31" ht="54" customHeight="1">
      <x:c r="A31" s="15" t="str">
        <x:v>Review note</x:v>
      </x:c>
      <x:c r="B31" s="15" t="str">
        <x:v>No website tests executed</x:v>
      </x:c>
      <x:c r="C31" s="15" t="str">
        <x:v>Formula checks verify the tracker, not the application.</x:v>
      </x:c>
    </x:row>
  </x:sheetData>
  <x:conditionalFormatting sqref="B28:B30">
    <x:cfRule type="cellIs" dxfId="9" priority="1" operator="equal">
      <x:formula>"Not ready"</x:formula>
    </x:cfRule>
  </x:conditionalFormatting>
  <x:pageMargins left="0.7" right="0.7" top="0.75" bottom="0.75" header="0.3" footer="0.3"/>
</x:worksheet>
</file>